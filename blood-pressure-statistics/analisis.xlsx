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majaber/Desktop/"/>
    </mc:Choice>
  </mc:AlternateContent>
  <xr:revisionPtr revIDLastSave="0" documentId="8_{A0941E83-EC3C-E945-8DC6-EEB1847E0734}" xr6:coauthVersionLast="47" xr6:coauthVersionMax="47" xr10:uidLastSave="{00000000-0000-0000-0000-000000000000}"/>
  <bookViews>
    <workbookView xWindow="0" yWindow="740" windowWidth="30240" windowHeight="18900" activeTab="3" xr2:uid="{285A7F64-A17F-47FC-AD15-B39B52F7F36B}"/>
  </bookViews>
  <sheets>
    <sheet name="Datos" sheetId="1" r:id="rId1"/>
    <sheet name="Ejercicio 1" sheetId="2" r:id="rId2"/>
    <sheet name="Ejercicio 2" sheetId="3" r:id="rId3"/>
    <sheet name="Ejercicio 3" sheetId="4" r:id="rId4"/>
  </sheets>
  <definedNames>
    <definedName name="_xlnm._FilterDatabase" localSheetId="0" hidden="1">Datos!$A$1:$A$101</definedName>
    <definedName name="_xlchart.v1.0" hidden="1">Datos!$C$2:$C$101</definedName>
    <definedName name="_xlchart.v1.1" hidden="1">Datos!$C$2:$C$101</definedName>
    <definedName name="_xlchart.v1.2" hidden="1">Datos!$D$2:$D$101</definedName>
    <definedName name="_xlchart.v1.3" hidden="1">Datos!$D$2:$D$101</definedName>
    <definedName name="_xlchart.v1.4" hidden="1">Datos!$C$2:$C$101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B15" i="2"/>
  <c r="C14" i="2"/>
  <c r="B14" i="2"/>
  <c r="E21" i="4"/>
  <c r="E22" i="4" s="1"/>
  <c r="E23" i="4" s="1"/>
  <c r="E20" i="4"/>
  <c r="E19" i="4"/>
  <c r="E18" i="4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42" i="1"/>
  <c r="E8" i="4"/>
  <c r="E5" i="4"/>
  <c r="E12" i="4" s="1"/>
  <c r="E4" i="4"/>
  <c r="E6" i="4" s="1"/>
  <c r="E13" i="4" s="1"/>
  <c r="E14" i="4" s="1"/>
  <c r="B22" i="4"/>
  <c r="B21" i="4"/>
  <c r="B20" i="4"/>
  <c r="B23" i="4" s="1"/>
  <c r="B19" i="4"/>
  <c r="B18" i="4"/>
  <c r="B17" i="4"/>
  <c r="B6" i="4"/>
  <c r="B11" i="4" s="1"/>
  <c r="B5" i="4"/>
  <c r="B4" i="4"/>
  <c r="D6" i="3"/>
  <c r="D5" i="3"/>
  <c r="D4" i="3"/>
  <c r="A8" i="3" s="1"/>
  <c r="A3" i="3"/>
  <c r="G4" i="2"/>
  <c r="G5" i="2"/>
  <c r="F5" i="2"/>
  <c r="F4" i="2"/>
  <c r="G3" i="2"/>
  <c r="F3" i="2"/>
  <c r="C9" i="2"/>
  <c r="C8" i="2"/>
  <c r="C7" i="2"/>
  <c r="C6" i="2"/>
  <c r="B9" i="2"/>
  <c r="B8" i="2"/>
  <c r="B7" i="2"/>
  <c r="B6" i="2"/>
  <c r="C5" i="2"/>
  <c r="B5" i="2"/>
  <c r="C4" i="2"/>
  <c r="B4" i="2"/>
  <c r="B3" i="2"/>
  <c r="C3" i="2"/>
  <c r="E7" i="4" l="1"/>
  <c r="E10" i="4" s="1"/>
  <c r="B24" i="4"/>
  <c r="B25" i="4"/>
  <c r="B26" i="4" s="1"/>
  <c r="B7" i="4"/>
  <c r="B8" i="4"/>
  <c r="B9" i="4" s="1"/>
  <c r="B13" i="4"/>
  <c r="B12" i="4"/>
  <c r="F6" i="2"/>
  <c r="F7" i="2" s="1"/>
  <c r="G6" i="2"/>
  <c r="G7" i="2" s="1"/>
  <c r="C10" i="2"/>
  <c r="B10" i="2"/>
  <c r="B28" i="4" l="1"/>
  <c r="B27" i="4"/>
  <c r="E9" i="4"/>
  <c r="B10" i="4"/>
  <c r="G8" i="2"/>
  <c r="F8" i="2"/>
</calcChain>
</file>

<file path=xl/sharedStrings.xml><?xml version="1.0" encoding="utf-8"?>
<sst xmlns="http://schemas.openxmlformats.org/spreadsheetml/2006/main" count="130" uniqueCount="105">
  <si>
    <t>Edad</t>
  </si>
  <si>
    <t>Presion sistólica antes</t>
  </si>
  <si>
    <t>Presión sistólica después</t>
  </si>
  <si>
    <t>Grupo</t>
  </si>
  <si>
    <t>Colesterol total</t>
  </si>
  <si>
    <t>Médidas</t>
  </si>
  <si>
    <t>Grupo 1</t>
  </si>
  <si>
    <t>Grupo 2</t>
  </si>
  <si>
    <t>Media</t>
  </si>
  <si>
    <t>Mediana</t>
  </si>
  <si>
    <t>Moda</t>
  </si>
  <si>
    <t>Varianza</t>
  </si>
  <si>
    <t>Rango</t>
  </si>
  <si>
    <t>Antes</t>
  </si>
  <si>
    <t>Después</t>
  </si>
  <si>
    <t>Antes (Grupo 2)</t>
  </si>
  <si>
    <t>Después (Grupo 2)</t>
  </si>
  <si>
    <t>Curtosis</t>
  </si>
  <si>
    <t>Q1</t>
  </si>
  <si>
    <t>Q2</t>
  </si>
  <si>
    <t>Q3</t>
  </si>
  <si>
    <t>IQR</t>
  </si>
  <si>
    <t>Estadístico</t>
  </si>
  <si>
    <t>Límite inferior</t>
  </si>
  <si>
    <t>Límite superior</t>
  </si>
  <si>
    <t>Desviación típica</t>
  </si>
  <si>
    <t>Mínimo</t>
  </si>
  <si>
    <t>Máximo</t>
  </si>
  <si>
    <t>Bin</t>
  </si>
  <si>
    <t>More</t>
  </si>
  <si>
    <t>Frequency</t>
  </si>
  <si>
    <t>Bins</t>
  </si>
  <si>
    <t>Valor</t>
  </si>
  <si>
    <t>Slope</t>
  </si>
  <si>
    <t>Intercept</t>
  </si>
  <si>
    <t>Prediction for x=105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</si>
  <si>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</si>
  <si>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</si>
  <si>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</si>
  <si>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</si>
  <si>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</si>
  <si>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</si>
  <si>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</si>
  <si>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</si>
  <si>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</si>
  <si>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</si>
  <si>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</si>
  <si>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</si>
  <si>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</si>
  <si>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</si>
  <si>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</si>
  <si>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</si>
  <si>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</si>
  <si>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</si>
  <si>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</si>
  <si>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</si>
  <si>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</si>
  <si>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</si>
  <si>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</si>
  <si>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</si>
  <si>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</si>
  <si>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</si>
  <si>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</si>
  <si>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Media muestral</t>
  </si>
  <si>
    <t>Tamaño muestral</t>
  </si>
  <si>
    <t>Error estándar</t>
  </si>
  <si>
    <t>t crítico 95%</t>
  </si>
  <si>
    <t>t crítico 99%</t>
  </si>
  <si>
    <t>Límite inferior 95%</t>
  </si>
  <si>
    <t>Límite superior 95%</t>
  </si>
  <si>
    <t>Límite inferior 99%</t>
  </si>
  <si>
    <t>Límite superior 99%</t>
  </si>
  <si>
    <t>Desviación típica jóvenes</t>
  </si>
  <si>
    <t>Media jóvenes</t>
  </si>
  <si>
    <t>Diferencia de medias</t>
  </si>
  <si>
    <t>Media adultos</t>
  </si>
  <si>
    <t>Desviación típica adultos</t>
  </si>
  <si>
    <t>Tamaño muestral adultos</t>
  </si>
  <si>
    <t>Tamaño muestral jóvenes</t>
  </si>
  <si>
    <t>Grados de libertad</t>
  </si>
  <si>
    <t>Número de individuas con ≥ 130</t>
  </si>
  <si>
    <t>Proporción muestral</t>
  </si>
  <si>
    <t>Valor z 99%</t>
  </si>
  <si>
    <t xml:space="preserve">Valor t </t>
  </si>
  <si>
    <t>Estadístico z para contraste</t>
  </si>
  <si>
    <t>p-valor</t>
  </si>
  <si>
    <t>Error estándar hipótesis</t>
  </si>
  <si>
    <t>3c) Proporción con presión sistólica inicial ≥ 130mmHg y contraste p = 0.30</t>
  </si>
  <si>
    <t>3b) IC para diferencia de medias después entre 
adultos (Grupo 2) y jóvenes (Grupo 1)</t>
  </si>
  <si>
    <t>3a) IC y contraste para la media antes, adultos (Grupo 2)</t>
  </si>
  <si>
    <t>Hipótesis nula (H0)</t>
  </si>
  <si>
    <t>Media de diferencias</t>
  </si>
  <si>
    <t>Desviación típica de diferencias</t>
  </si>
  <si>
    <t>Tamaño muestral total</t>
  </si>
  <si>
    <t>Estadístico t</t>
  </si>
  <si>
    <t>3d) (Voluntario) Eficacia del medicamento en adultos (Grupo 2)</t>
  </si>
  <si>
    <t>Diferencia en presión sistólica</t>
  </si>
  <si>
    <t>1c) Cuartiles, rango intercuartílico y detección de valores atípicos</t>
  </si>
  <si>
    <t>1a) Medidas de centralización y dispersion por grupos</t>
  </si>
  <si>
    <t>2a) Relación linear entre el colesterol total y 
la presión sistólica despues del medicamento</t>
  </si>
  <si>
    <t>2b) Modelo lineal (grupo 1)</t>
  </si>
  <si>
    <t>2c) SUMMARY OUTPUT</t>
  </si>
  <si>
    <t>2d) Variacion de presión sistolica de un paciente con el colesterol aumentado 5mg/Dl</t>
  </si>
  <si>
    <t xml:space="preserve">1b) Simetría y Curtosis </t>
  </si>
  <si>
    <t>Simetría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</si>
</sst>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Fill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Continuous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1" fontId="0" fillId="0" borderId="1" xfId="0" applyNumberFormat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Datos!$H$90:$H$100</c:f>
              <c:numCache>
                <c:formatCode>General</c:formatCode>
                <c:ptCount val="11"/>
              </c:numCache>
            </c:numRef>
          </c:cat>
          <c:val>
            <c:numRef>
              <c:f>Datos!$I$90:$I$100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5568-C24F-9048-167307866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650912"/>
        <c:axId val="51301904"/>
      </c:barChart>
      <c:catAx>
        <c:axId val="32665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301904"/>
        <c:crosses val="autoZero"/>
        <c:auto val="1"/>
        <c:lblAlgn val="ctr"/>
        <c:lblOffset val="100"/>
        <c:noMultiLvlLbl val="0"/>
      </c:catAx>
      <c:valAx>
        <c:axId val="5130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650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Presión sistólica antes del medicamento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'Ejercicio 1'!$R$5:$R$13</c:f>
              <c:strCache>
                <c:ptCount val="9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More</c:v>
                </c:pt>
              </c:strCache>
            </c:strRef>
          </c:cat>
          <c:val>
            <c:numRef>
              <c:f>'Ejercicio 1'!$S$5:$S$13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11</c:v>
                </c:pt>
                <c:pt idx="3">
                  <c:v>17</c:v>
                </c:pt>
                <c:pt idx="4">
                  <c:v>37</c:v>
                </c:pt>
                <c:pt idx="5">
                  <c:v>21</c:v>
                </c:pt>
                <c:pt idx="6">
                  <c:v>9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6-1A46-9D72-74FB1EDC6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636816"/>
        <c:axId val="553638528"/>
      </c:barChart>
      <c:catAx>
        <c:axId val="55363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3638528"/>
        <c:crosses val="autoZero"/>
        <c:auto val="1"/>
        <c:lblAlgn val="ctr"/>
        <c:lblOffset val="100"/>
        <c:noMultiLvlLbl val="0"/>
      </c:catAx>
      <c:valAx>
        <c:axId val="553638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36368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Presión sistólica después del medicamento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'Ejercicio 1'!$R$18:$R$26</c:f>
              <c:strCache>
                <c:ptCount val="9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More</c:v>
                </c:pt>
              </c:strCache>
            </c:strRef>
          </c:cat>
          <c:val>
            <c:numRef>
              <c:f>'Ejercicio 1'!$S$18:$S$26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17</c:v>
                </c:pt>
                <c:pt idx="3">
                  <c:v>29</c:v>
                </c:pt>
                <c:pt idx="4">
                  <c:v>22</c:v>
                </c:pt>
                <c:pt idx="5">
                  <c:v>18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8-C445-8F6C-238BFD08D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83983"/>
        <c:axId val="320755696"/>
      </c:barChart>
      <c:catAx>
        <c:axId val="5983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0755696"/>
        <c:crosses val="autoZero"/>
        <c:auto val="1"/>
        <c:lblAlgn val="ctr"/>
        <c:lblOffset val="100"/>
        <c:noMultiLvlLbl val="0"/>
      </c:catAx>
      <c:valAx>
        <c:axId val="320755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8398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Presión sistólica antes del medicamento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Presión sistólica antes del medicamento</a:t>
          </a:r>
        </a:p>
      </cx:txPr>
    </cx:title>
    <cx:plotArea>
      <cx:plotAreaRegion>
        <cx:series layoutId="boxWhisker" uniqueId="{4A42C759-87B5-B74A-ACA6-7685FC04F45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Presión sistólica (mmHg)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Presión sistólica después del medicamento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Presión sistólica después del medicamento</a:t>
          </a:r>
        </a:p>
      </cx:txPr>
    </cx:title>
    <cx:plotArea>
      <cx:plotAreaRegion>
        <cx:series layoutId="boxWhisker" uniqueId="{EC6B1E9D-A984-4F45-884F-8290AC0FD66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Presión sistólica (mmHg)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127000</xdr:rowOff>
    </xdr:from>
    <xdr:to>
      <xdr:col>14</xdr:col>
      <xdr:colOff>0</xdr:colOff>
      <xdr:row>17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3A4B0A-87F2-694A-B987-9B5C3C59A3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0300" y="317500"/>
              <a:ext cx="4953000" cy="2882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18</xdr:row>
      <xdr:rowOff>88900</xdr:rowOff>
    </xdr:from>
    <xdr:to>
      <xdr:col>14</xdr:col>
      <xdr:colOff>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A32235E-9629-0B46-86DA-F99146C392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0300" y="3327400"/>
              <a:ext cx="4953000" cy="2959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736600</xdr:colOff>
      <xdr:row>74</xdr:row>
      <xdr:rowOff>88900</xdr:rowOff>
    </xdr:from>
    <xdr:to>
      <xdr:col>13</xdr:col>
      <xdr:colOff>736600</xdr:colOff>
      <xdr:row>84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9C98C4-9030-8008-54CB-17674E683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241300</xdr:colOff>
      <xdr:row>1</xdr:row>
      <xdr:rowOff>177800</xdr:rowOff>
    </xdr:from>
    <xdr:to>
      <xdr:col>24</xdr:col>
      <xdr:colOff>0</xdr:colOff>
      <xdr:row>19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901EA0-D4C8-6391-3FC6-E019F5B50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203200</xdr:colOff>
      <xdr:row>21</xdr:row>
      <xdr:rowOff>12700</xdr:rowOff>
    </xdr:from>
    <xdr:to>
      <xdr:col>24</xdr:col>
      <xdr:colOff>0</xdr:colOff>
      <xdr:row>39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B2B449-6E99-EB6D-152A-8D12A3E19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1F2D-AEC4-48F5-8FDB-6DF5C632C9AB}">
  <dimension ref="A1:I101"/>
  <sheetViews>
    <sheetView topLeftCell="A53" zoomScale="110" zoomScaleNormal="110" workbookViewId="0">
      <selection activeCell="F98" sqref="F98"/>
    </sheetView>
  </sheetViews>
  <sheetFormatPr baseColWidth="10" defaultRowHeight="15" x14ac:dyDescent="0.2"/>
  <cols>
    <col min="3" max="3" width="20.1640625" customWidth="1"/>
    <col min="4" max="4" width="22.83203125" customWidth="1"/>
    <col min="5" max="5" width="14" customWidth="1"/>
    <col min="6" max="6" width="24.33203125" bestFit="1" customWidth="1"/>
    <col min="7" max="7" width="13.5" customWidth="1"/>
  </cols>
  <sheetData>
    <row r="1" spans="1:6" x14ac:dyDescent="0.2">
      <c r="A1" s="1" t="s">
        <v>3</v>
      </c>
      <c r="B1" s="4" t="s">
        <v>0</v>
      </c>
      <c r="C1" s="3" t="s">
        <v>1</v>
      </c>
      <c r="D1" s="3" t="s">
        <v>2</v>
      </c>
      <c r="E1" s="3" t="s">
        <v>4</v>
      </c>
      <c r="F1" s="3" t="s">
        <v>96</v>
      </c>
    </row>
    <row r="2" spans="1:6" x14ac:dyDescent="0.2">
      <c r="A2">
        <v>1</v>
      </c>
      <c r="B2">
        <v>30</v>
      </c>
      <c r="C2">
        <v>126</v>
      </c>
      <c r="D2">
        <v>118</v>
      </c>
      <c r="E2">
        <v>191</v>
      </c>
    </row>
    <row r="3" spans="1:6" x14ac:dyDescent="0.2">
      <c r="A3">
        <v>1</v>
      </c>
      <c r="B3">
        <v>25</v>
      </c>
      <c r="C3">
        <v>114</v>
      </c>
      <c r="D3">
        <v>110</v>
      </c>
      <c r="E3">
        <v>181</v>
      </c>
    </row>
    <row r="4" spans="1:6" x14ac:dyDescent="0.2">
      <c r="A4">
        <v>1</v>
      </c>
      <c r="B4">
        <v>27</v>
      </c>
      <c r="C4">
        <v>110</v>
      </c>
      <c r="D4">
        <v>110</v>
      </c>
      <c r="E4">
        <v>175</v>
      </c>
    </row>
    <row r="5" spans="1:6" x14ac:dyDescent="0.2">
      <c r="A5">
        <v>1</v>
      </c>
      <c r="B5">
        <v>34</v>
      </c>
      <c r="C5">
        <v>108</v>
      </c>
      <c r="D5">
        <v>105</v>
      </c>
      <c r="E5">
        <v>173</v>
      </c>
    </row>
    <row r="6" spans="1:6" x14ac:dyDescent="0.2">
      <c r="A6">
        <v>1</v>
      </c>
      <c r="B6">
        <v>35</v>
      </c>
      <c r="C6">
        <v>131</v>
      </c>
      <c r="D6">
        <v>132</v>
      </c>
      <c r="E6">
        <v>200</v>
      </c>
    </row>
    <row r="7" spans="1:6" x14ac:dyDescent="0.2">
      <c r="A7">
        <v>1</v>
      </c>
      <c r="B7">
        <v>18</v>
      </c>
      <c r="C7">
        <v>109</v>
      </c>
      <c r="D7">
        <v>110</v>
      </c>
      <c r="E7">
        <v>174</v>
      </c>
    </row>
    <row r="8" spans="1:6" x14ac:dyDescent="0.2">
      <c r="A8">
        <v>1</v>
      </c>
      <c r="B8">
        <v>18</v>
      </c>
      <c r="C8">
        <v>121</v>
      </c>
      <c r="D8">
        <v>115</v>
      </c>
      <c r="E8">
        <v>185</v>
      </c>
    </row>
    <row r="9" spans="1:6" x14ac:dyDescent="0.2">
      <c r="A9">
        <v>1</v>
      </c>
      <c r="B9">
        <v>22</v>
      </c>
      <c r="C9">
        <v>123</v>
      </c>
      <c r="D9">
        <v>110</v>
      </c>
      <c r="E9">
        <v>188</v>
      </c>
    </row>
    <row r="10" spans="1:6" x14ac:dyDescent="0.2">
      <c r="A10">
        <v>1</v>
      </c>
      <c r="B10">
        <v>21</v>
      </c>
      <c r="C10">
        <v>127</v>
      </c>
      <c r="D10">
        <v>122</v>
      </c>
      <c r="E10">
        <v>190</v>
      </c>
    </row>
    <row r="11" spans="1:6" x14ac:dyDescent="0.2">
      <c r="A11">
        <v>1</v>
      </c>
      <c r="B11">
        <v>29</v>
      </c>
      <c r="C11">
        <v>128</v>
      </c>
      <c r="D11">
        <v>120</v>
      </c>
      <c r="E11">
        <v>192</v>
      </c>
    </row>
    <row r="12" spans="1:6" x14ac:dyDescent="0.2">
      <c r="A12">
        <v>1</v>
      </c>
      <c r="B12">
        <v>26</v>
      </c>
      <c r="C12">
        <v>125</v>
      </c>
      <c r="D12">
        <v>125</v>
      </c>
      <c r="E12">
        <v>190</v>
      </c>
    </row>
    <row r="13" spans="1:6" x14ac:dyDescent="0.2">
      <c r="A13">
        <v>1</v>
      </c>
      <c r="B13">
        <v>24</v>
      </c>
      <c r="C13">
        <v>131</v>
      </c>
      <c r="D13">
        <v>128</v>
      </c>
      <c r="E13">
        <v>202</v>
      </c>
    </row>
    <row r="14" spans="1:6" x14ac:dyDescent="0.2">
      <c r="A14">
        <v>1</v>
      </c>
      <c r="B14">
        <v>23</v>
      </c>
      <c r="C14">
        <v>128</v>
      </c>
      <c r="D14">
        <v>134</v>
      </c>
      <c r="E14">
        <v>194</v>
      </c>
    </row>
    <row r="15" spans="1:6" x14ac:dyDescent="0.2">
      <c r="A15">
        <v>1</v>
      </c>
      <c r="B15">
        <v>28</v>
      </c>
      <c r="C15">
        <v>129</v>
      </c>
      <c r="D15">
        <v>132</v>
      </c>
      <c r="E15">
        <v>193</v>
      </c>
    </row>
    <row r="16" spans="1:6" x14ac:dyDescent="0.2">
      <c r="A16">
        <v>1</v>
      </c>
      <c r="B16">
        <v>25</v>
      </c>
      <c r="C16">
        <v>134</v>
      </c>
      <c r="D16">
        <v>131</v>
      </c>
      <c r="E16">
        <v>206</v>
      </c>
    </row>
    <row r="17" spans="1:5" x14ac:dyDescent="0.2">
      <c r="A17">
        <v>1</v>
      </c>
      <c r="B17">
        <v>20</v>
      </c>
      <c r="C17">
        <v>116</v>
      </c>
      <c r="D17">
        <v>115</v>
      </c>
      <c r="E17">
        <v>180</v>
      </c>
    </row>
    <row r="18" spans="1:5" x14ac:dyDescent="0.2">
      <c r="A18">
        <v>1</v>
      </c>
      <c r="B18">
        <v>21</v>
      </c>
      <c r="C18">
        <v>105</v>
      </c>
      <c r="D18">
        <v>106</v>
      </c>
      <c r="E18">
        <v>172</v>
      </c>
    </row>
    <row r="19" spans="1:5" x14ac:dyDescent="0.2">
      <c r="A19">
        <v>1</v>
      </c>
      <c r="B19">
        <v>19</v>
      </c>
      <c r="C19">
        <v>118</v>
      </c>
      <c r="D19">
        <v>110</v>
      </c>
      <c r="E19">
        <v>164</v>
      </c>
    </row>
    <row r="20" spans="1:5" x14ac:dyDescent="0.2">
      <c r="A20">
        <v>1</v>
      </c>
      <c r="B20">
        <v>32</v>
      </c>
      <c r="C20">
        <v>124</v>
      </c>
      <c r="D20">
        <v>118</v>
      </c>
      <c r="E20">
        <v>188</v>
      </c>
    </row>
    <row r="21" spans="1:5" x14ac:dyDescent="0.2">
      <c r="A21">
        <v>1</v>
      </c>
      <c r="B21">
        <v>18</v>
      </c>
      <c r="C21">
        <v>121</v>
      </c>
      <c r="D21">
        <v>117</v>
      </c>
      <c r="E21">
        <v>185</v>
      </c>
    </row>
    <row r="22" spans="1:5" x14ac:dyDescent="0.2">
      <c r="A22">
        <v>1</v>
      </c>
      <c r="B22">
        <v>35</v>
      </c>
      <c r="C22">
        <v>127</v>
      </c>
      <c r="D22">
        <v>127</v>
      </c>
      <c r="E22">
        <v>170</v>
      </c>
    </row>
    <row r="23" spans="1:5" x14ac:dyDescent="0.2">
      <c r="A23">
        <v>1</v>
      </c>
      <c r="B23">
        <v>33</v>
      </c>
      <c r="C23">
        <v>142</v>
      </c>
      <c r="D23">
        <v>138</v>
      </c>
      <c r="E23">
        <v>214</v>
      </c>
    </row>
    <row r="24" spans="1:5" x14ac:dyDescent="0.2">
      <c r="A24">
        <v>1</v>
      </c>
      <c r="B24" s="2">
        <v>31</v>
      </c>
      <c r="C24">
        <v>138</v>
      </c>
      <c r="D24">
        <v>129</v>
      </c>
      <c r="E24">
        <v>210</v>
      </c>
    </row>
    <row r="25" spans="1:5" x14ac:dyDescent="0.2">
      <c r="A25">
        <v>1</v>
      </c>
      <c r="B25">
        <v>29</v>
      </c>
      <c r="C25">
        <v>139</v>
      </c>
      <c r="D25">
        <v>125</v>
      </c>
      <c r="E25">
        <v>200</v>
      </c>
    </row>
    <row r="26" spans="1:5" x14ac:dyDescent="0.2">
      <c r="A26">
        <v>1</v>
      </c>
      <c r="B26">
        <v>25</v>
      </c>
      <c r="C26">
        <v>110</v>
      </c>
      <c r="D26">
        <v>110</v>
      </c>
      <c r="E26">
        <v>183</v>
      </c>
    </row>
    <row r="27" spans="1:5" x14ac:dyDescent="0.2">
      <c r="A27">
        <v>1</v>
      </c>
      <c r="B27">
        <v>29</v>
      </c>
      <c r="C27">
        <v>112</v>
      </c>
      <c r="D27">
        <v>108</v>
      </c>
      <c r="E27">
        <v>182</v>
      </c>
    </row>
    <row r="28" spans="1:5" x14ac:dyDescent="0.2">
      <c r="A28">
        <v>1</v>
      </c>
      <c r="B28">
        <v>33</v>
      </c>
      <c r="C28">
        <v>114</v>
      </c>
      <c r="D28">
        <v>103</v>
      </c>
      <c r="E28">
        <v>177</v>
      </c>
    </row>
    <row r="29" spans="1:5" x14ac:dyDescent="0.2">
      <c r="A29">
        <v>1</v>
      </c>
      <c r="B29">
        <v>34</v>
      </c>
      <c r="C29">
        <v>121</v>
      </c>
      <c r="D29">
        <v>115</v>
      </c>
      <c r="E29">
        <v>185</v>
      </c>
    </row>
    <row r="30" spans="1:5" x14ac:dyDescent="0.2">
      <c r="A30">
        <v>1</v>
      </c>
      <c r="B30" s="2">
        <v>21</v>
      </c>
      <c r="C30">
        <v>131</v>
      </c>
      <c r="D30">
        <v>142</v>
      </c>
      <c r="E30">
        <v>200</v>
      </c>
    </row>
    <row r="31" spans="1:5" x14ac:dyDescent="0.2">
      <c r="A31">
        <v>1</v>
      </c>
      <c r="B31">
        <v>22</v>
      </c>
      <c r="C31">
        <v>125</v>
      </c>
      <c r="D31">
        <v>124</v>
      </c>
      <c r="E31">
        <v>184</v>
      </c>
    </row>
    <row r="32" spans="1:5" x14ac:dyDescent="0.2">
      <c r="A32">
        <v>1</v>
      </c>
      <c r="B32">
        <v>23</v>
      </c>
      <c r="C32">
        <v>128</v>
      </c>
      <c r="D32">
        <v>121</v>
      </c>
      <c r="E32">
        <v>192</v>
      </c>
    </row>
    <row r="33" spans="1:6" x14ac:dyDescent="0.2">
      <c r="A33">
        <v>1</v>
      </c>
      <c r="B33">
        <v>27</v>
      </c>
      <c r="C33">
        <v>129</v>
      </c>
      <c r="D33">
        <v>123</v>
      </c>
      <c r="E33">
        <v>189</v>
      </c>
    </row>
    <row r="34" spans="1:6" x14ac:dyDescent="0.2">
      <c r="A34">
        <v>1</v>
      </c>
      <c r="B34">
        <v>28</v>
      </c>
      <c r="C34">
        <v>130</v>
      </c>
      <c r="D34">
        <v>121</v>
      </c>
      <c r="E34">
        <v>196</v>
      </c>
    </row>
    <row r="35" spans="1:6" x14ac:dyDescent="0.2">
      <c r="A35">
        <v>1</v>
      </c>
      <c r="B35">
        <v>35</v>
      </c>
      <c r="C35">
        <v>137</v>
      </c>
      <c r="D35">
        <v>131</v>
      </c>
      <c r="E35">
        <v>210</v>
      </c>
    </row>
    <row r="36" spans="1:6" x14ac:dyDescent="0.2">
      <c r="A36">
        <v>1</v>
      </c>
      <c r="B36">
        <v>30</v>
      </c>
      <c r="C36">
        <v>125</v>
      </c>
      <c r="D36">
        <v>121</v>
      </c>
      <c r="E36">
        <v>177</v>
      </c>
    </row>
    <row r="37" spans="1:6" x14ac:dyDescent="0.2">
      <c r="A37">
        <v>1</v>
      </c>
      <c r="B37">
        <v>20</v>
      </c>
      <c r="C37">
        <v>124</v>
      </c>
      <c r="D37">
        <v>120</v>
      </c>
      <c r="E37">
        <v>179</v>
      </c>
    </row>
    <row r="38" spans="1:6" x14ac:dyDescent="0.2">
      <c r="A38">
        <v>1</v>
      </c>
      <c r="B38">
        <v>27</v>
      </c>
      <c r="C38">
        <v>123</v>
      </c>
      <c r="D38">
        <v>119</v>
      </c>
      <c r="E38">
        <v>180</v>
      </c>
    </row>
    <row r="39" spans="1:6" x14ac:dyDescent="0.2">
      <c r="A39">
        <v>1</v>
      </c>
      <c r="B39">
        <v>29</v>
      </c>
      <c r="C39">
        <v>122</v>
      </c>
      <c r="D39">
        <v>115</v>
      </c>
      <c r="E39">
        <v>183</v>
      </c>
    </row>
    <row r="40" spans="1:6" x14ac:dyDescent="0.2">
      <c r="A40">
        <v>1</v>
      </c>
      <c r="B40">
        <v>25</v>
      </c>
      <c r="C40">
        <v>120</v>
      </c>
      <c r="D40">
        <v>120</v>
      </c>
      <c r="E40">
        <v>177</v>
      </c>
    </row>
    <row r="41" spans="1:6" x14ac:dyDescent="0.2">
      <c r="A41">
        <v>1</v>
      </c>
      <c r="B41">
        <v>31</v>
      </c>
      <c r="C41">
        <v>112</v>
      </c>
      <c r="D41">
        <v>116</v>
      </c>
      <c r="E41">
        <v>180</v>
      </c>
    </row>
    <row r="42" spans="1:6" x14ac:dyDescent="0.2">
      <c r="A42">
        <v>2</v>
      </c>
      <c r="B42">
        <v>36</v>
      </c>
      <c r="C42">
        <v>126</v>
      </c>
      <c r="D42">
        <v>124</v>
      </c>
      <c r="E42">
        <v>173</v>
      </c>
      <c r="F42">
        <f>D42-C42</f>
        <v>-2</v>
      </c>
    </row>
    <row r="43" spans="1:6" x14ac:dyDescent="0.2">
      <c r="A43">
        <v>2</v>
      </c>
      <c r="B43">
        <v>61</v>
      </c>
      <c r="C43">
        <v>125</v>
      </c>
      <c r="D43">
        <v>120</v>
      </c>
      <c r="E43">
        <v>181</v>
      </c>
      <c r="F43">
        <f t="shared" ref="F43:F101" si="0">D43-C43</f>
        <v>-5</v>
      </c>
    </row>
    <row r="44" spans="1:6" x14ac:dyDescent="0.2">
      <c r="A44">
        <v>2</v>
      </c>
      <c r="B44">
        <v>76</v>
      </c>
      <c r="C44">
        <v>151</v>
      </c>
      <c r="D44">
        <v>158</v>
      </c>
      <c r="E44">
        <v>246</v>
      </c>
      <c r="F44">
        <f t="shared" si="0"/>
        <v>7</v>
      </c>
    </row>
    <row r="45" spans="1:6" x14ac:dyDescent="0.2">
      <c r="A45">
        <v>2</v>
      </c>
      <c r="B45">
        <v>39</v>
      </c>
      <c r="C45">
        <v>141</v>
      </c>
      <c r="D45">
        <v>135</v>
      </c>
      <c r="E45">
        <v>212</v>
      </c>
      <c r="F45">
        <f t="shared" si="0"/>
        <v>-6</v>
      </c>
    </row>
    <row r="46" spans="1:6" x14ac:dyDescent="0.2">
      <c r="A46">
        <v>2</v>
      </c>
      <c r="B46">
        <v>41</v>
      </c>
      <c r="C46">
        <v>118</v>
      </c>
      <c r="D46">
        <v>130</v>
      </c>
      <c r="E46">
        <v>170</v>
      </c>
      <c r="F46">
        <f t="shared" si="0"/>
        <v>12</v>
      </c>
    </row>
    <row r="47" spans="1:6" x14ac:dyDescent="0.2">
      <c r="A47">
        <v>2</v>
      </c>
      <c r="B47">
        <v>54</v>
      </c>
      <c r="C47">
        <v>132</v>
      </c>
      <c r="D47">
        <v>128</v>
      </c>
      <c r="E47">
        <v>195</v>
      </c>
      <c r="F47">
        <f t="shared" si="0"/>
        <v>-4</v>
      </c>
    </row>
    <row r="48" spans="1:6" x14ac:dyDescent="0.2">
      <c r="A48">
        <v>2</v>
      </c>
      <c r="B48">
        <v>53</v>
      </c>
      <c r="C48">
        <v>136</v>
      </c>
      <c r="D48">
        <v>141</v>
      </c>
      <c r="E48">
        <v>198</v>
      </c>
      <c r="F48">
        <f t="shared" si="0"/>
        <v>5</v>
      </c>
    </row>
    <row r="49" spans="1:6" x14ac:dyDescent="0.2">
      <c r="A49">
        <v>2</v>
      </c>
      <c r="B49">
        <v>52</v>
      </c>
      <c r="C49">
        <v>129</v>
      </c>
      <c r="D49">
        <v>123</v>
      </c>
      <c r="E49">
        <v>210</v>
      </c>
      <c r="F49">
        <f t="shared" si="0"/>
        <v>-6</v>
      </c>
    </row>
    <row r="50" spans="1:6" x14ac:dyDescent="0.2">
      <c r="A50">
        <v>2</v>
      </c>
      <c r="B50">
        <v>61</v>
      </c>
      <c r="C50">
        <v>140</v>
      </c>
      <c r="D50">
        <v>113</v>
      </c>
      <c r="E50">
        <v>174</v>
      </c>
      <c r="F50">
        <f t="shared" si="0"/>
        <v>-27</v>
      </c>
    </row>
    <row r="51" spans="1:6" x14ac:dyDescent="0.2">
      <c r="A51">
        <v>2</v>
      </c>
      <c r="B51">
        <v>66</v>
      </c>
      <c r="C51">
        <v>125</v>
      </c>
      <c r="D51">
        <v>124</v>
      </c>
      <c r="E51">
        <v>256</v>
      </c>
      <c r="F51">
        <f t="shared" si="0"/>
        <v>-1</v>
      </c>
    </row>
    <row r="52" spans="1:6" x14ac:dyDescent="0.2">
      <c r="A52">
        <v>2</v>
      </c>
      <c r="B52">
        <v>49</v>
      </c>
      <c r="C52">
        <v>138</v>
      </c>
      <c r="D52">
        <v>139</v>
      </c>
      <c r="E52">
        <v>214</v>
      </c>
      <c r="F52">
        <f t="shared" si="0"/>
        <v>1</v>
      </c>
    </row>
    <row r="53" spans="1:6" x14ac:dyDescent="0.2">
      <c r="A53">
        <v>2</v>
      </c>
      <c r="B53">
        <v>50</v>
      </c>
      <c r="C53">
        <v>129</v>
      </c>
      <c r="D53">
        <v>118</v>
      </c>
      <c r="E53">
        <v>198</v>
      </c>
      <c r="F53">
        <f t="shared" si="0"/>
        <v>-11</v>
      </c>
    </row>
    <row r="54" spans="1:6" x14ac:dyDescent="0.2">
      <c r="A54">
        <v>2</v>
      </c>
      <c r="B54">
        <v>57</v>
      </c>
      <c r="C54">
        <v>107</v>
      </c>
      <c r="D54">
        <v>120</v>
      </c>
      <c r="E54">
        <v>176</v>
      </c>
      <c r="F54">
        <f t="shared" si="0"/>
        <v>13</v>
      </c>
    </row>
    <row r="55" spans="1:6" x14ac:dyDescent="0.2">
      <c r="A55">
        <v>2</v>
      </c>
      <c r="B55">
        <v>61</v>
      </c>
      <c r="C55">
        <v>117</v>
      </c>
      <c r="D55">
        <v>118</v>
      </c>
      <c r="E55">
        <v>191</v>
      </c>
      <c r="F55">
        <f t="shared" si="0"/>
        <v>1</v>
      </c>
    </row>
    <row r="56" spans="1:6" x14ac:dyDescent="0.2">
      <c r="A56">
        <v>2</v>
      </c>
      <c r="B56">
        <v>63</v>
      </c>
      <c r="C56">
        <v>96</v>
      </c>
      <c r="D56">
        <v>96</v>
      </c>
      <c r="E56">
        <v>154</v>
      </c>
      <c r="F56">
        <f t="shared" si="0"/>
        <v>0</v>
      </c>
    </row>
    <row r="57" spans="1:6" x14ac:dyDescent="0.2">
      <c r="A57">
        <v>2</v>
      </c>
      <c r="B57">
        <v>57</v>
      </c>
      <c r="C57">
        <v>110</v>
      </c>
      <c r="D57">
        <v>105</v>
      </c>
      <c r="E57">
        <v>168</v>
      </c>
      <c r="F57">
        <f t="shared" si="0"/>
        <v>-5</v>
      </c>
    </row>
    <row r="58" spans="1:6" x14ac:dyDescent="0.2">
      <c r="A58">
        <v>2</v>
      </c>
      <c r="B58">
        <v>54</v>
      </c>
      <c r="C58">
        <v>121</v>
      </c>
      <c r="D58">
        <v>110</v>
      </c>
      <c r="E58">
        <v>179</v>
      </c>
      <c r="F58">
        <f t="shared" si="0"/>
        <v>-11</v>
      </c>
    </row>
    <row r="59" spans="1:6" x14ac:dyDescent="0.2">
      <c r="A59">
        <v>2</v>
      </c>
      <c r="B59">
        <v>48</v>
      </c>
      <c r="C59">
        <v>145</v>
      </c>
      <c r="D59">
        <v>155</v>
      </c>
      <c r="E59">
        <v>150</v>
      </c>
      <c r="F59">
        <f t="shared" si="0"/>
        <v>10</v>
      </c>
    </row>
    <row r="60" spans="1:6" x14ac:dyDescent="0.2">
      <c r="A60">
        <v>2</v>
      </c>
      <c r="B60">
        <v>36</v>
      </c>
      <c r="C60">
        <v>139</v>
      </c>
      <c r="D60">
        <v>135</v>
      </c>
      <c r="E60">
        <v>201</v>
      </c>
      <c r="F60">
        <f t="shared" si="0"/>
        <v>-4</v>
      </c>
    </row>
    <row r="61" spans="1:6" x14ac:dyDescent="0.2">
      <c r="A61">
        <v>2</v>
      </c>
      <c r="B61">
        <v>38</v>
      </c>
      <c r="C61">
        <v>121</v>
      </c>
      <c r="D61">
        <v>120</v>
      </c>
      <c r="E61">
        <v>167</v>
      </c>
      <c r="F61">
        <f t="shared" si="0"/>
        <v>-1</v>
      </c>
    </row>
    <row r="62" spans="1:6" x14ac:dyDescent="0.2">
      <c r="A62">
        <v>2</v>
      </c>
      <c r="B62">
        <v>40</v>
      </c>
      <c r="C62">
        <v>127</v>
      </c>
      <c r="D62">
        <v>115</v>
      </c>
      <c r="E62">
        <v>219</v>
      </c>
      <c r="F62">
        <f t="shared" si="0"/>
        <v>-12</v>
      </c>
    </row>
    <row r="63" spans="1:6" x14ac:dyDescent="0.2">
      <c r="A63">
        <v>2</v>
      </c>
      <c r="B63">
        <v>50</v>
      </c>
      <c r="C63">
        <v>153</v>
      </c>
      <c r="D63">
        <v>161</v>
      </c>
      <c r="E63">
        <v>179</v>
      </c>
      <c r="F63">
        <f t="shared" si="0"/>
        <v>8</v>
      </c>
    </row>
    <row r="64" spans="1:6" x14ac:dyDescent="0.2">
      <c r="A64">
        <v>2</v>
      </c>
      <c r="B64">
        <v>58</v>
      </c>
      <c r="C64">
        <v>125</v>
      </c>
      <c r="D64">
        <v>120</v>
      </c>
      <c r="E64">
        <v>223</v>
      </c>
      <c r="F64">
        <f t="shared" si="0"/>
        <v>-5</v>
      </c>
    </row>
    <row r="65" spans="1:6" x14ac:dyDescent="0.2">
      <c r="A65">
        <v>2</v>
      </c>
      <c r="B65">
        <v>70</v>
      </c>
      <c r="C65">
        <v>130</v>
      </c>
      <c r="D65">
        <v>120</v>
      </c>
      <c r="E65">
        <v>229</v>
      </c>
      <c r="F65">
        <f t="shared" si="0"/>
        <v>-10</v>
      </c>
    </row>
    <row r="66" spans="1:6" x14ac:dyDescent="0.2">
      <c r="A66">
        <v>2</v>
      </c>
      <c r="B66">
        <v>75</v>
      </c>
      <c r="C66">
        <v>108</v>
      </c>
      <c r="D66">
        <v>102</v>
      </c>
      <c r="E66">
        <v>160</v>
      </c>
      <c r="F66">
        <f t="shared" si="0"/>
        <v>-6</v>
      </c>
    </row>
    <row r="67" spans="1:6" x14ac:dyDescent="0.2">
      <c r="A67">
        <v>2</v>
      </c>
      <c r="B67">
        <v>81</v>
      </c>
      <c r="C67">
        <v>105</v>
      </c>
      <c r="D67">
        <v>83</v>
      </c>
      <c r="E67">
        <v>187</v>
      </c>
      <c r="F67">
        <f t="shared" si="0"/>
        <v>-22</v>
      </c>
    </row>
    <row r="68" spans="1:6" x14ac:dyDescent="0.2">
      <c r="A68">
        <v>2</v>
      </c>
      <c r="B68">
        <v>69</v>
      </c>
      <c r="C68">
        <v>112</v>
      </c>
      <c r="D68">
        <v>105</v>
      </c>
      <c r="E68">
        <v>176</v>
      </c>
      <c r="F68">
        <f t="shared" si="0"/>
        <v>-7</v>
      </c>
    </row>
    <row r="69" spans="1:6" x14ac:dyDescent="0.2">
      <c r="A69">
        <v>2</v>
      </c>
      <c r="B69">
        <v>68</v>
      </c>
      <c r="C69">
        <v>121</v>
      </c>
      <c r="D69">
        <v>90</v>
      </c>
      <c r="E69">
        <v>184</v>
      </c>
      <c r="F69">
        <f t="shared" si="0"/>
        <v>-31</v>
      </c>
    </row>
    <row r="70" spans="1:6" x14ac:dyDescent="0.2">
      <c r="A70">
        <v>2</v>
      </c>
      <c r="B70">
        <v>80</v>
      </c>
      <c r="C70">
        <v>102</v>
      </c>
      <c r="D70">
        <v>101</v>
      </c>
      <c r="E70">
        <v>183</v>
      </c>
      <c r="F70">
        <f t="shared" si="0"/>
        <v>-1</v>
      </c>
    </row>
    <row r="71" spans="1:6" x14ac:dyDescent="0.2">
      <c r="A71">
        <v>2</v>
      </c>
      <c r="B71">
        <v>75</v>
      </c>
      <c r="C71">
        <v>120</v>
      </c>
      <c r="D71">
        <v>115</v>
      </c>
      <c r="E71">
        <v>191</v>
      </c>
      <c r="F71">
        <f t="shared" si="0"/>
        <v>-5</v>
      </c>
    </row>
    <row r="72" spans="1:6" x14ac:dyDescent="0.2">
      <c r="A72">
        <v>2</v>
      </c>
      <c r="B72">
        <v>75</v>
      </c>
      <c r="C72">
        <v>115</v>
      </c>
      <c r="D72">
        <v>115</v>
      </c>
      <c r="E72">
        <v>187</v>
      </c>
      <c r="F72">
        <f t="shared" si="0"/>
        <v>0</v>
      </c>
    </row>
    <row r="73" spans="1:6" x14ac:dyDescent="0.2">
      <c r="A73">
        <v>2</v>
      </c>
      <c r="B73">
        <v>70</v>
      </c>
      <c r="C73">
        <v>143</v>
      </c>
      <c r="D73">
        <v>152</v>
      </c>
      <c r="E73">
        <v>195</v>
      </c>
      <c r="F73">
        <f t="shared" si="0"/>
        <v>9</v>
      </c>
    </row>
    <row r="74" spans="1:6" x14ac:dyDescent="0.2">
      <c r="A74">
        <v>2</v>
      </c>
      <c r="B74">
        <v>68</v>
      </c>
      <c r="C74">
        <v>138</v>
      </c>
      <c r="D74">
        <v>125</v>
      </c>
      <c r="E74">
        <v>245</v>
      </c>
      <c r="F74">
        <f t="shared" si="0"/>
        <v>-13</v>
      </c>
    </row>
    <row r="75" spans="1:6" x14ac:dyDescent="0.2">
      <c r="A75">
        <v>2</v>
      </c>
      <c r="B75">
        <v>54</v>
      </c>
      <c r="C75">
        <v>135</v>
      </c>
      <c r="D75">
        <v>138</v>
      </c>
      <c r="E75">
        <v>250</v>
      </c>
      <c r="F75">
        <f t="shared" si="0"/>
        <v>3</v>
      </c>
    </row>
    <row r="76" spans="1:6" x14ac:dyDescent="0.2">
      <c r="A76">
        <v>2</v>
      </c>
      <c r="B76">
        <v>39</v>
      </c>
      <c r="C76">
        <v>140</v>
      </c>
      <c r="D76">
        <v>138</v>
      </c>
      <c r="E76">
        <v>251</v>
      </c>
      <c r="F76">
        <f t="shared" si="0"/>
        <v>-2</v>
      </c>
    </row>
    <row r="77" spans="1:6" x14ac:dyDescent="0.2">
      <c r="A77">
        <v>2</v>
      </c>
      <c r="B77">
        <v>41</v>
      </c>
      <c r="C77">
        <v>143</v>
      </c>
      <c r="D77">
        <v>135</v>
      </c>
      <c r="E77">
        <v>210</v>
      </c>
      <c r="F77">
        <f t="shared" si="0"/>
        <v>-8</v>
      </c>
    </row>
    <row r="78" spans="1:6" x14ac:dyDescent="0.2">
      <c r="A78">
        <v>2</v>
      </c>
      <c r="B78">
        <v>43</v>
      </c>
      <c r="C78">
        <v>119</v>
      </c>
      <c r="D78">
        <v>120</v>
      </c>
      <c r="E78">
        <v>198</v>
      </c>
      <c r="F78">
        <f t="shared" si="0"/>
        <v>1</v>
      </c>
    </row>
    <row r="79" spans="1:6" x14ac:dyDescent="0.2">
      <c r="A79">
        <v>2</v>
      </c>
      <c r="B79">
        <v>56</v>
      </c>
      <c r="C79">
        <v>121</v>
      </c>
      <c r="D79">
        <v>118</v>
      </c>
      <c r="E79">
        <v>198</v>
      </c>
      <c r="F79">
        <f t="shared" si="0"/>
        <v>-3</v>
      </c>
    </row>
    <row r="80" spans="1:6" x14ac:dyDescent="0.2">
      <c r="A80">
        <v>2</v>
      </c>
      <c r="B80">
        <v>38</v>
      </c>
      <c r="C80">
        <v>143</v>
      </c>
      <c r="D80">
        <v>140</v>
      </c>
      <c r="E80">
        <v>233</v>
      </c>
      <c r="F80">
        <f t="shared" si="0"/>
        <v>-3</v>
      </c>
    </row>
    <row r="81" spans="1:9" x14ac:dyDescent="0.2">
      <c r="A81">
        <v>2</v>
      </c>
      <c r="B81">
        <v>40</v>
      </c>
      <c r="C81">
        <v>138</v>
      </c>
      <c r="D81">
        <v>134</v>
      </c>
      <c r="E81">
        <v>298</v>
      </c>
      <c r="F81">
        <f t="shared" si="0"/>
        <v>-4</v>
      </c>
    </row>
    <row r="82" spans="1:9" x14ac:dyDescent="0.2">
      <c r="A82">
        <v>2</v>
      </c>
      <c r="B82">
        <v>45</v>
      </c>
      <c r="C82">
        <v>100</v>
      </c>
      <c r="D82">
        <v>77</v>
      </c>
      <c r="E82">
        <v>190</v>
      </c>
      <c r="F82">
        <f t="shared" si="0"/>
        <v>-23</v>
      </c>
    </row>
    <row r="83" spans="1:9" x14ac:dyDescent="0.2">
      <c r="A83">
        <v>2</v>
      </c>
      <c r="B83">
        <v>49</v>
      </c>
      <c r="C83">
        <v>118</v>
      </c>
      <c r="D83">
        <v>121</v>
      </c>
      <c r="E83">
        <v>201</v>
      </c>
      <c r="F83">
        <f t="shared" si="0"/>
        <v>3</v>
      </c>
    </row>
    <row r="84" spans="1:9" x14ac:dyDescent="0.2">
      <c r="A84">
        <v>2</v>
      </c>
      <c r="B84">
        <v>57</v>
      </c>
      <c r="C84">
        <v>121</v>
      </c>
      <c r="D84">
        <v>120</v>
      </c>
      <c r="E84">
        <v>189</v>
      </c>
      <c r="F84">
        <f t="shared" si="0"/>
        <v>-1</v>
      </c>
    </row>
    <row r="85" spans="1:9" x14ac:dyDescent="0.2">
      <c r="A85">
        <v>2</v>
      </c>
      <c r="B85">
        <v>63</v>
      </c>
      <c r="C85">
        <v>126</v>
      </c>
      <c r="D85">
        <v>121</v>
      </c>
      <c r="E85">
        <v>180</v>
      </c>
      <c r="F85">
        <f t="shared" si="0"/>
        <v>-5</v>
      </c>
    </row>
    <row r="86" spans="1:9" x14ac:dyDescent="0.2">
      <c r="A86">
        <v>2</v>
      </c>
      <c r="B86">
        <v>65</v>
      </c>
      <c r="C86">
        <v>135</v>
      </c>
      <c r="D86">
        <v>130</v>
      </c>
      <c r="E86">
        <v>210</v>
      </c>
      <c r="F86">
        <f t="shared" si="0"/>
        <v>-5</v>
      </c>
    </row>
    <row r="87" spans="1:9" x14ac:dyDescent="0.2">
      <c r="A87">
        <v>2</v>
      </c>
      <c r="B87">
        <v>76</v>
      </c>
      <c r="C87">
        <v>134</v>
      </c>
      <c r="D87">
        <v>133</v>
      </c>
      <c r="E87">
        <v>222</v>
      </c>
      <c r="F87">
        <f t="shared" si="0"/>
        <v>-1</v>
      </c>
    </row>
    <row r="88" spans="1:9" x14ac:dyDescent="0.2">
      <c r="A88">
        <v>2</v>
      </c>
      <c r="B88">
        <v>74</v>
      </c>
      <c r="C88">
        <v>149</v>
      </c>
      <c r="D88">
        <v>145</v>
      </c>
      <c r="E88">
        <v>190</v>
      </c>
      <c r="F88">
        <f t="shared" si="0"/>
        <v>-4</v>
      </c>
    </row>
    <row r="89" spans="1:9" x14ac:dyDescent="0.2">
      <c r="A89">
        <v>2</v>
      </c>
      <c r="B89">
        <v>70</v>
      </c>
      <c r="C89">
        <v>121</v>
      </c>
      <c r="D89">
        <v>122</v>
      </c>
      <c r="E89">
        <v>160</v>
      </c>
      <c r="F89">
        <f t="shared" si="0"/>
        <v>1</v>
      </c>
      <c r="H89" s="11"/>
      <c r="I89" s="11"/>
    </row>
    <row r="90" spans="1:9" x14ac:dyDescent="0.2">
      <c r="A90">
        <v>2</v>
      </c>
      <c r="B90">
        <v>65</v>
      </c>
      <c r="C90">
        <v>125</v>
      </c>
      <c r="D90">
        <v>120</v>
      </c>
      <c r="E90">
        <v>167</v>
      </c>
      <c r="F90">
        <f t="shared" si="0"/>
        <v>-5</v>
      </c>
      <c r="H90" s="8"/>
      <c r="I90" s="8"/>
    </row>
    <row r="91" spans="1:9" x14ac:dyDescent="0.2">
      <c r="A91">
        <v>2</v>
      </c>
      <c r="B91">
        <v>64</v>
      </c>
      <c r="C91">
        <v>136</v>
      </c>
      <c r="D91">
        <v>134</v>
      </c>
      <c r="E91">
        <v>198</v>
      </c>
      <c r="F91">
        <f t="shared" si="0"/>
        <v>-2</v>
      </c>
      <c r="H91" s="8"/>
      <c r="I91" s="8"/>
    </row>
    <row r="92" spans="1:9" x14ac:dyDescent="0.2">
      <c r="A92">
        <v>2</v>
      </c>
      <c r="B92">
        <v>62</v>
      </c>
      <c r="C92">
        <v>140</v>
      </c>
      <c r="D92">
        <v>135</v>
      </c>
      <c r="E92">
        <v>269</v>
      </c>
      <c r="F92">
        <f t="shared" si="0"/>
        <v>-5</v>
      </c>
      <c r="H92" s="8"/>
      <c r="I92" s="8"/>
    </row>
    <row r="93" spans="1:9" x14ac:dyDescent="0.2">
      <c r="A93">
        <v>2</v>
      </c>
      <c r="B93">
        <v>50</v>
      </c>
      <c r="C93">
        <v>142</v>
      </c>
      <c r="D93">
        <v>138</v>
      </c>
      <c r="E93">
        <v>280</v>
      </c>
      <c r="F93">
        <f t="shared" si="0"/>
        <v>-4</v>
      </c>
      <c r="H93" s="8"/>
      <c r="I93" s="8"/>
    </row>
    <row r="94" spans="1:9" x14ac:dyDescent="0.2">
      <c r="A94">
        <v>2</v>
      </c>
      <c r="B94">
        <v>52</v>
      </c>
      <c r="C94">
        <v>135</v>
      </c>
      <c r="D94">
        <v>130</v>
      </c>
      <c r="E94">
        <v>195</v>
      </c>
      <c r="F94">
        <f t="shared" si="0"/>
        <v>-5</v>
      </c>
      <c r="H94" s="8"/>
      <c r="I94" s="8"/>
    </row>
    <row r="95" spans="1:9" x14ac:dyDescent="0.2">
      <c r="A95">
        <v>2</v>
      </c>
      <c r="B95">
        <v>56</v>
      </c>
      <c r="C95">
        <v>108</v>
      </c>
      <c r="D95">
        <v>105</v>
      </c>
      <c r="E95">
        <v>179</v>
      </c>
      <c r="F95">
        <f t="shared" si="0"/>
        <v>-3</v>
      </c>
      <c r="H95" s="8"/>
      <c r="I95" s="8"/>
    </row>
    <row r="96" spans="1:9" x14ac:dyDescent="0.2">
      <c r="A96">
        <v>2</v>
      </c>
      <c r="B96">
        <v>86</v>
      </c>
      <c r="C96">
        <v>115</v>
      </c>
      <c r="D96">
        <v>110</v>
      </c>
      <c r="E96">
        <v>180</v>
      </c>
      <c r="F96">
        <f t="shared" si="0"/>
        <v>-5</v>
      </c>
      <c r="H96" s="8"/>
      <c r="I96" s="8"/>
    </row>
    <row r="97" spans="1:9" x14ac:dyDescent="0.2">
      <c r="A97">
        <v>2</v>
      </c>
      <c r="B97">
        <v>54</v>
      </c>
      <c r="C97">
        <v>117</v>
      </c>
      <c r="D97">
        <v>100</v>
      </c>
      <c r="E97">
        <v>194</v>
      </c>
      <c r="F97">
        <f t="shared" si="0"/>
        <v>-17</v>
      </c>
      <c r="H97" s="8"/>
      <c r="I97" s="8"/>
    </row>
    <row r="98" spans="1:9" x14ac:dyDescent="0.2">
      <c r="A98">
        <v>2</v>
      </c>
      <c r="B98">
        <v>50</v>
      </c>
      <c r="C98">
        <v>148</v>
      </c>
      <c r="D98">
        <v>141</v>
      </c>
      <c r="E98">
        <v>239</v>
      </c>
      <c r="F98">
        <f t="shared" si="0"/>
        <v>-7</v>
      </c>
      <c r="H98" s="8"/>
      <c r="I98" s="8"/>
    </row>
    <row r="99" spans="1:9" x14ac:dyDescent="0.2">
      <c r="A99">
        <v>2</v>
      </c>
      <c r="B99">
        <v>54</v>
      </c>
      <c r="C99">
        <v>121</v>
      </c>
      <c r="D99">
        <v>115</v>
      </c>
      <c r="E99">
        <v>196</v>
      </c>
      <c r="F99">
        <f t="shared" si="0"/>
        <v>-6</v>
      </c>
      <c r="H99" s="8"/>
      <c r="I99" s="8"/>
    </row>
    <row r="100" spans="1:9" x14ac:dyDescent="0.2">
      <c r="A100">
        <v>2</v>
      </c>
      <c r="B100">
        <v>52</v>
      </c>
      <c r="C100">
        <v>154</v>
      </c>
      <c r="D100">
        <v>155</v>
      </c>
      <c r="E100">
        <v>270</v>
      </c>
      <c r="F100">
        <f t="shared" si="0"/>
        <v>1</v>
      </c>
      <c r="H100" s="8"/>
      <c r="I100" s="8"/>
    </row>
    <row r="101" spans="1:9" x14ac:dyDescent="0.2">
      <c r="A101">
        <v>2</v>
      </c>
      <c r="B101">
        <v>46</v>
      </c>
      <c r="C101">
        <v>120</v>
      </c>
      <c r="D101">
        <v>116</v>
      </c>
      <c r="E101">
        <v>214</v>
      </c>
      <c r="F101">
        <f t="shared" si="0"/>
        <v>-4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023C-74A5-5346-8B1F-285ABA0E0C56}">
  <dimension ref="A1:S35"/>
  <sheetViews>
    <sheetView topLeftCell="H1" zoomScale="120" zoomScaleNormal="120" workbookViewId="0">
      <selection activeCell="Y22" sqref="Y22"/>
    </sheetView>
  </sheetViews>
  <sheetFormatPr baseColWidth="10" defaultRowHeight="15" x14ac:dyDescent="0.2"/>
  <cols>
    <col min="1" max="1" width="16.5" customWidth="1"/>
    <col min="2" max="2" width="16.1640625" customWidth="1"/>
    <col min="3" max="3" width="16.33203125" customWidth="1"/>
    <col min="5" max="5" width="15.5" customWidth="1"/>
    <col min="6" max="6" width="16.6640625" customWidth="1"/>
    <col min="7" max="7" width="23.1640625" customWidth="1"/>
  </cols>
  <sheetData>
    <row r="1" spans="1:19" x14ac:dyDescent="0.2">
      <c r="A1" s="14" t="s">
        <v>98</v>
      </c>
      <c r="B1" s="14"/>
      <c r="C1" s="14"/>
      <c r="E1" s="21" t="s">
        <v>97</v>
      </c>
      <c r="F1" s="21"/>
      <c r="G1" s="21"/>
    </row>
    <row r="2" spans="1:19" x14ac:dyDescent="0.2">
      <c r="A2" s="19" t="s">
        <v>5</v>
      </c>
      <c r="B2" s="19" t="s">
        <v>6</v>
      </c>
      <c r="C2" s="19" t="s">
        <v>7</v>
      </c>
      <c r="E2" s="19" t="s">
        <v>22</v>
      </c>
      <c r="F2" s="19" t="s">
        <v>13</v>
      </c>
      <c r="G2" s="19" t="s">
        <v>14</v>
      </c>
    </row>
    <row r="3" spans="1:19" ht="16" thickBot="1" x14ac:dyDescent="0.25">
      <c r="A3" s="5" t="s">
        <v>8</v>
      </c>
      <c r="B3" s="7">
        <f>AVERAGE(Datos!C2:C41)</f>
        <v>123.425</v>
      </c>
      <c r="C3" s="7">
        <f>AVERAGE(Datos!C42:C101)</f>
        <v>127.48333333333333</v>
      </c>
      <c r="E3" s="5" t="s">
        <v>18</v>
      </c>
      <c r="F3" s="7">
        <f>_xlfn.QUARTILE.INC(Datos!C2:C101,1)</f>
        <v>118</v>
      </c>
      <c r="G3" s="7">
        <f>_xlfn.QUARTILE.INC(Datos!D2:D101,1)</f>
        <v>115</v>
      </c>
    </row>
    <row r="4" spans="1:19" x14ac:dyDescent="0.2">
      <c r="A4" s="5" t="s">
        <v>9</v>
      </c>
      <c r="B4" s="7">
        <f>MEDIAN(Datos!C2:C41)</f>
        <v>124.5</v>
      </c>
      <c r="C4" s="7">
        <f>MEDIAN(Datos!C42:C101)</f>
        <v>126</v>
      </c>
      <c r="E4" s="5" t="s">
        <v>19</v>
      </c>
      <c r="F4" s="7">
        <f>_xlfn.QUARTILE.INC(Datos!C2:C101,2)</f>
        <v>125</v>
      </c>
      <c r="G4" s="7">
        <f>_xlfn.QUARTILE.INC(Datos!D2:D101,2)</f>
        <v>120</v>
      </c>
      <c r="P4" t="s">
        <v>31</v>
      </c>
      <c r="Q4" s="11"/>
      <c r="R4" s="10" t="s">
        <v>28</v>
      </c>
      <c r="S4" s="10" t="s">
        <v>30</v>
      </c>
    </row>
    <row r="5" spans="1:19" x14ac:dyDescent="0.2">
      <c r="A5" s="5" t="s">
        <v>10</v>
      </c>
      <c r="B5" s="7">
        <f>_xlfn.MODE.SNGL(Datos!C2:C41)</f>
        <v>131</v>
      </c>
      <c r="C5" s="7">
        <f>_xlfn.MODE.SNGL(Datos!C42:C101)</f>
        <v>121</v>
      </c>
      <c r="E5" s="5" t="s">
        <v>20</v>
      </c>
      <c r="F5" s="7">
        <f>_xlfn.QUARTILE.INC(Datos!C2:C101,3)</f>
        <v>135</v>
      </c>
      <c r="G5" s="7">
        <f>_xlfn.QUARTILE.INC(Datos!D2:D101,3)</f>
        <v>131.25</v>
      </c>
      <c r="P5">
        <v>90</v>
      </c>
      <c r="Q5" s="8"/>
      <c r="R5" s="13">
        <v>90</v>
      </c>
      <c r="S5" s="8">
        <v>0</v>
      </c>
    </row>
    <row r="6" spans="1:19" x14ac:dyDescent="0.2">
      <c r="A6" s="5" t="s">
        <v>25</v>
      </c>
      <c r="B6" s="7">
        <f>_xlfn.STDEV.S(Datos!C2:C41)</f>
        <v>9.026705393243443</v>
      </c>
      <c r="C6" s="7">
        <f>_xlfn.STDEV.S(Datos!C42:C101)</f>
        <v>13.888773257522391</v>
      </c>
      <c r="E6" s="5" t="s">
        <v>21</v>
      </c>
      <c r="F6" s="7">
        <f>F5-F3</f>
        <v>17</v>
      </c>
      <c r="G6" s="7">
        <f>G5-G3</f>
        <v>16.25</v>
      </c>
      <c r="P6">
        <v>100</v>
      </c>
      <c r="Q6" s="8"/>
      <c r="R6" s="13">
        <v>100</v>
      </c>
      <c r="S6" s="8">
        <v>2</v>
      </c>
    </row>
    <row r="7" spans="1:19" x14ac:dyDescent="0.2">
      <c r="A7" s="5" t="s">
        <v>11</v>
      </c>
      <c r="B7" s="7">
        <f>_xlfn.VAR.S(Datos!C2:C41)</f>
        <v>81.481410256410271</v>
      </c>
      <c r="C7" s="7">
        <f>_xlfn.VAR.S(Datos!C42:C101)</f>
        <v>192.89802259886915</v>
      </c>
      <c r="E7" s="5" t="s">
        <v>23</v>
      </c>
      <c r="F7" s="7">
        <f>F3-1.5*F6</f>
        <v>92.5</v>
      </c>
      <c r="G7" s="7">
        <f>G3-1.5*G6</f>
        <v>90.625</v>
      </c>
      <c r="P7">
        <v>110</v>
      </c>
      <c r="Q7" s="8"/>
      <c r="R7" s="13">
        <v>110</v>
      </c>
      <c r="S7" s="8">
        <v>11</v>
      </c>
    </row>
    <row r="8" spans="1:19" x14ac:dyDescent="0.2">
      <c r="A8" s="5" t="s">
        <v>26</v>
      </c>
      <c r="B8" s="7">
        <f>MIN(Datos!C2:C41)</f>
        <v>105</v>
      </c>
      <c r="C8" s="7">
        <f>MIN(Datos!C42:C101)</f>
        <v>96</v>
      </c>
      <c r="E8" s="5" t="s">
        <v>24</v>
      </c>
      <c r="F8" s="7">
        <f>F5+1.5*F6</f>
        <v>160.5</v>
      </c>
      <c r="G8" s="7">
        <f>G5+1.5*G6</f>
        <v>155.625</v>
      </c>
      <c r="P8">
        <v>120</v>
      </c>
      <c r="Q8" s="8"/>
      <c r="R8" s="13">
        <v>120</v>
      </c>
      <c r="S8" s="8">
        <v>17</v>
      </c>
    </row>
    <row r="9" spans="1:19" x14ac:dyDescent="0.2">
      <c r="A9" s="5" t="s">
        <v>27</v>
      </c>
      <c r="B9" s="7">
        <f>MAX(Datos!C2:C41)</f>
        <v>142</v>
      </c>
      <c r="C9" s="7">
        <f>MAX(Datos!C42:C101)</f>
        <v>154</v>
      </c>
      <c r="E9" s="5" t="inlineStr">
        <is>
          <t>Nº de valores atípicos</t>
        </is>
      </c>
      <c r="F9" s="7">
        <f>COUNTIF(Datos!C2:C101,"&lt;"&amp;F7)+COUNTIF(Datos!C2:C101,"&gt;"&amp;F8)</f>
        <v>0</v>
      </c>
      <c r="G9" s="7">
        <f>COUNTIF(Datos!D2:D101,"&lt;"&amp;G7)+COUNTIF(Datos!D2:D101,"&gt;"&amp;G8)</f>
        <v>5</v>
      </c>
      <c r="P9">
        <v>130</v>
      </c>
      <c r="Q9" s="8"/>
      <c r="R9" s="13">
        <v>130</v>
      </c>
      <c r="S9" s="8">
        <v>37</v>
      </c>
    </row>
    <row r="10" spans="1:19" x14ac:dyDescent="0.2">
      <c r="A10" s="5" t="s">
        <v>12</v>
      </c>
      <c r="B10" s="7">
        <f>B9-B8</f>
        <v>37</v>
      </c>
      <c r="C10" s="7">
        <f>C9-C8</f>
        <v>58</v>
      </c>
      <c r="E10" s="5" t="inlineStr">
        <is>
          <t>Valores atípicos (mmHg)</t>
        </is>
      </c>
      <c r="F10" s="7" t="inlineStr">
        <is>
          <t>Ninguno</t>
        </is>
      </c>
      <c r="G10" s="7" t="inlineStr">
        <is>
          <t>77, 83, 90, 158, 161</t>
        </is>
      </c>
      <c r="P10">
        <v>140</v>
      </c>
      <c r="Q10" s="8"/>
      <c r="R10" s="13">
        <v>140</v>
      </c>
      <c r="S10" s="8">
        <v>21</v>
      </c>
    </row>
    <row r="11" spans="1:19" x14ac:dyDescent="0.2">
      <c r="A11" s="5" t="inlineStr">
        <is>
          <t>Coeficiente de variación (%)</t>
        </is>
      </c>
      <c r="B11" s="7">
        <f>B6/B3*100</f>
        <v>7.313514598536313</v>
      </c>
      <c r="C11" s="7">
        <f>C6/C3*100</f>
        <v>10.894579624151463</v>
      </c>
      <c r="P11">
        <v>150</v>
      </c>
      <c r="Q11" s="8"/>
      <c r="R11" s="13">
        <v>150</v>
      </c>
      <c r="S11" s="8">
        <v>9</v>
      </c>
    </row>
    <row r="12" spans="1:19" x14ac:dyDescent="0.2">
      <c r="A12" s="14" t="s">
        <v>103</v>
      </c>
      <c r="B12" s="14"/>
      <c r="C12" s="14"/>
      <c r="P12">
        <v>160</v>
      </c>
      <c r="Q12" s="8"/>
      <c r="R12" s="13">
        <v>160</v>
      </c>
      <c r="S12" s="8">
        <v>3</v>
      </c>
    </row>
    <row r="13" spans="1:19" ht="16" thickBot="1" x14ac:dyDescent="0.25">
      <c r="A13" s="22" t="s">
        <v>22</v>
      </c>
      <c r="B13" s="22" t="s">
        <v>15</v>
      </c>
      <c r="C13" s="22" t="s">
        <v>16</v>
      </c>
      <c r="P13" s="8"/>
      <c r="Q13" s="8"/>
      <c r="R13" s="9" t="s">
        <v>29</v>
      </c>
      <c r="S13" s="9">
        <v>0</v>
      </c>
    </row>
    <row r="14" spans="1:19" x14ac:dyDescent="0.2">
      <c r="A14" s="5" t="s">
        <v>104</v>
      </c>
      <c r="B14" s="7">
        <f>SKEW(Datos!C42:C101)</f>
        <v>-0.13659909459079353</v>
      </c>
      <c r="C14" s="7">
        <f>SKEW(Datos!D42:D101)</f>
        <v>-0.19377624811245056</v>
      </c>
      <c r="P14" s="8"/>
      <c r="Q14" s="8"/>
    </row>
    <row r="15" spans="1:19" x14ac:dyDescent="0.2">
      <c r="A15" s="5" t="s">
        <v>17</v>
      </c>
      <c r="B15" s="7">
        <f>KURT(Datos!C42:C101)</f>
        <v>-0.60205628607570905</v>
      </c>
      <c r="C15" s="7">
        <f>KURT(Datos!D42:D101)</f>
        <v>0.36918846866347854</v>
      </c>
      <c r="P15" s="8"/>
      <c r="Q15" s="8"/>
    </row>
    <row r="16" spans="1:19" ht="16" thickBot="1" x14ac:dyDescent="0.25">
      <c r="P16" s="11"/>
      <c r="Q16" s="11"/>
    </row>
    <row r="17" spans="16:19" x14ac:dyDescent="0.2">
      <c r="P17" s="8"/>
      <c r="Q17" s="8"/>
      <c r="R17" s="10" t="s">
        <v>28</v>
      </c>
      <c r="S17" s="10" t="s">
        <v>30</v>
      </c>
    </row>
    <row r="18" spans="16:19" x14ac:dyDescent="0.2">
      <c r="P18" s="8"/>
      <c r="Q18" s="8"/>
      <c r="R18" s="13">
        <v>90</v>
      </c>
      <c r="S18" s="8">
        <v>3</v>
      </c>
    </row>
    <row r="19" spans="16:19" x14ac:dyDescent="0.2">
      <c r="P19" s="8"/>
      <c r="Q19" s="8"/>
      <c r="R19" s="13">
        <v>100</v>
      </c>
      <c r="S19" s="8">
        <v>2</v>
      </c>
    </row>
    <row r="20" spans="16:19" x14ac:dyDescent="0.2">
      <c r="P20" s="8"/>
      <c r="Q20" s="8"/>
      <c r="R20" s="13">
        <v>110</v>
      </c>
      <c r="S20" s="8">
        <v>17</v>
      </c>
    </row>
    <row r="21" spans="16:19" x14ac:dyDescent="0.2">
      <c r="P21" s="8"/>
      <c r="Q21" s="8"/>
      <c r="R21" s="13">
        <v>120</v>
      </c>
      <c r="S21" s="8">
        <v>29</v>
      </c>
    </row>
    <row r="22" spans="16:19" x14ac:dyDescent="0.2">
      <c r="P22" s="11"/>
      <c r="Q22" s="11"/>
      <c r="R22" s="13">
        <v>130</v>
      </c>
      <c r="S22" s="8">
        <v>22</v>
      </c>
    </row>
    <row r="23" spans="16:19" x14ac:dyDescent="0.2">
      <c r="P23" s="8"/>
      <c r="Q23" s="8"/>
      <c r="R23" s="13">
        <v>140</v>
      </c>
      <c r="S23" s="8">
        <v>18</v>
      </c>
    </row>
    <row r="24" spans="16:19" x14ac:dyDescent="0.2">
      <c r="P24" s="8"/>
      <c r="Q24" s="8"/>
      <c r="R24" s="13">
        <v>150</v>
      </c>
      <c r="S24" s="8">
        <v>4</v>
      </c>
    </row>
    <row r="25" spans="16:19" x14ac:dyDescent="0.2">
      <c r="P25" s="8"/>
      <c r="Q25" s="8"/>
      <c r="R25" s="13">
        <v>160</v>
      </c>
      <c r="S25" s="8">
        <v>4</v>
      </c>
    </row>
    <row r="26" spans="16:19" ht="16" thickBot="1" x14ac:dyDescent="0.25">
      <c r="P26" s="8"/>
      <c r="Q26" s="8"/>
      <c r="R26" s="9" t="s">
        <v>29</v>
      </c>
      <c r="S26" s="9">
        <v>1</v>
      </c>
    </row>
    <row r="27" spans="16:19" x14ac:dyDescent="0.2">
      <c r="P27" s="8"/>
      <c r="Q27" s="8"/>
    </row>
    <row r="28" spans="16:19" x14ac:dyDescent="0.2">
      <c r="P28" s="8"/>
      <c r="Q28" s="8"/>
    </row>
    <row r="29" spans="16:19" x14ac:dyDescent="0.2">
      <c r="P29" s="8"/>
      <c r="Q29" s="8"/>
    </row>
    <row r="30" spans="16:19" x14ac:dyDescent="0.2">
      <c r="P30" s="8"/>
      <c r="Q30" s="8"/>
    </row>
    <row r="31" spans="16:19" x14ac:dyDescent="0.2">
      <c r="P31" s="8"/>
      <c r="Q31" s="8"/>
    </row>
    <row r="32" spans="16:19" x14ac:dyDescent="0.2">
      <c r="P32" s="8"/>
      <c r="Q32" s="8"/>
    </row>
    <row r="33" spans="16:17" x14ac:dyDescent="0.2">
      <c r="P33" s="8"/>
      <c r="Q33" s="8"/>
    </row>
    <row r="34" spans="16:17" x14ac:dyDescent="0.2">
      <c r="P34" s="8"/>
      <c r="Q34" s="8"/>
    </row>
    <row r="35" spans="16:17" x14ac:dyDescent="0.2">
      <c r="P35" s="8"/>
      <c r="Q35" s="8"/>
    </row>
  </sheetData>
  <sortState xmlns:xlrd2="http://schemas.microsoft.com/office/spreadsheetml/2017/richdata2" ref="R18:R25">
    <sortCondition ref="R18"/>
  </sortState>
  <mergeCells count="3">
    <mergeCell ref="A1:C1"/>
    <mergeCell ref="E1:G1"/>
    <mergeCell ref="A12:C12"/>
  </mergeCells>
  <pageMargins left="0.7" right="0.7" top="0.75" bottom="0.75" header="0.3" footer="0.3"/>
  <ignoredErrors>
    <ignoredError sqref="B3:C9 B14:C15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294B-9B72-B945-A6E1-2468846BF1F5}">
  <dimension ref="A2:N65"/>
  <sheetViews>
    <sheetView workbookViewId="0">
      <selection activeCell="C29" sqref="C29"/>
    </sheetView>
  </sheetViews>
  <sheetFormatPr baseColWidth="10" defaultRowHeight="15" x14ac:dyDescent="0.2"/>
  <cols>
    <col min="1" max="1" width="36.33203125" customWidth="1"/>
    <col min="3" max="3" width="16.83203125" bestFit="1" customWidth="1"/>
    <col min="6" max="6" width="19" bestFit="1" customWidth="1"/>
    <col min="8" max="8" width="13.1640625" bestFit="1" customWidth="1"/>
    <col min="11" max="11" width="12.6640625" bestFit="1" customWidth="1"/>
  </cols>
  <sheetData>
    <row r="2" spans="1:11" ht="34" customHeight="1" x14ac:dyDescent="0.2">
      <c r="A2" s="15" t="s">
        <v>99</v>
      </c>
      <c r="C2" s="14" t="s">
        <v>100</v>
      </c>
      <c r="D2" s="14"/>
      <c r="F2" s="1" t="s">
        <v>101</v>
      </c>
    </row>
    <row r="3" spans="1:11" ht="16" thickBot="1" x14ac:dyDescent="0.25">
      <c r="A3" s="7">
        <f>CORREL(Datos!E2:E41, Datos!D2:D41)</f>
        <v>0.74846556934906117</v>
      </c>
      <c r="C3" s="6" t="s">
        <v>22</v>
      </c>
      <c r="D3" s="6" t="s">
        <v>32</v>
      </c>
    </row>
    <row r="4" spans="1:11" x14ac:dyDescent="0.2">
      <c r="C4" s="5" t="s">
        <v>33</v>
      </c>
      <c r="D4" s="5">
        <f>SLOPE(Datos!D2:D41, Datos!E2:E41)</f>
        <v>0.59870338372591214</v>
      </c>
      <c r="F4" s="16" t="s">
        <v>36</v>
      </c>
      <c r="G4" s="16"/>
    </row>
    <row r="5" spans="1:11" x14ac:dyDescent="0.2">
      <c r="C5" s="5" t="s">
        <v>34</v>
      </c>
      <c r="D5" s="5">
        <f>INTERCEPT(Datos!D2:D41, Datos!E2:E41)</f>
        <v>7.7778238127298067</v>
      </c>
      <c r="F5" s="8" t="s">
        <v>37</v>
      </c>
      <c r="G5" s="8">
        <v>0.74846556934906139</v>
      </c>
    </row>
    <row r="6" spans="1:11" x14ac:dyDescent="0.2">
      <c r="C6" s="5" t="s">
        <v>35</v>
      </c>
      <c r="D6" s="5">
        <f>_xlfn.FORECAST.LINEAR(105, Datos!D2:D41, Datos!E2:E41)</f>
        <v>70.641679103950580</v>
      </c>
      <c r="F6" s="8" t="s">
        <v>38</v>
      </c>
      <c r="G6" s="8">
        <v>0.56020070850101467</v>
      </c>
    </row>
    <row r="7" spans="1:11" ht="48" x14ac:dyDescent="0.2">
      <c r="A7" s="15" t="s">
        <v>102</v>
      </c>
      <c r="C7" s="5" t="inlineStr">
        <is>
          <t>Prediction for x=190 (dentro del rango 164–214)</t>
        </is>
      </c>
      <c r="D7" s="5">
        <f>_xlfn.FORECAST.LINEAR(190, Datos!D2:D41, Datos!E2:E41)</f>
        <v>121.53146672065311</v>
      </c>
      <c r="F7" s="8" t="s">
        <v>39</v>
      </c>
      <c r="G7" s="8">
        <v>0.54862704293525189</v>
      </c>
    </row>
    <row r="8" spans="1:11" x14ac:dyDescent="0.2">
      <c r="A8" s="7">
        <f>D4*5</f>
        <v>2.9935169186295605</v>
      </c>
      <c r="F8" s="8" t="s">
        <v>40</v>
      </c>
      <c r="G8" s="8">
        <v>6.2707803442821701</v>
      </c>
    </row>
    <row r="9" spans="1:11" ht="16" thickBot="1" x14ac:dyDescent="0.25">
      <c r="F9" s="9" t="s">
        <v>41</v>
      </c>
      <c r="G9" s="9">
        <v>40</v>
      </c>
    </row>
    <row r="11" spans="1:11" ht="16" thickBot="1" x14ac:dyDescent="0.25">
      <c r="F11" t="s">
        <v>42</v>
      </c>
    </row>
    <row r="12" spans="1:11" x14ac:dyDescent="0.2">
      <c r="F12" s="10"/>
      <c r="G12" s="10" t="s">
        <v>46</v>
      </c>
      <c r="H12" s="10" t="s">
        <v>47</v>
      </c>
      <c r="I12" s="10" t="s">
        <v>48</v>
      </c>
      <c r="J12" s="10" t="s">
        <v>49</v>
      </c>
      <c r="K12" s="10" t="s">
        <v>50</v>
      </c>
    </row>
    <row r="13" spans="1:11" x14ac:dyDescent="0.2">
      <c r="F13" s="8" t="s">
        <v>43</v>
      </c>
      <c r="G13" s="8">
        <v>1</v>
      </c>
      <c r="H13" s="8">
        <v>1903.3379272030481</v>
      </c>
      <c r="I13" s="8">
        <v>1903.3379272030481</v>
      </c>
      <c r="J13" s="8">
        <v>48.403049605839733</v>
      </c>
      <c r="K13" s="8">
        <v>2.8099288495859521E-8</v>
      </c>
    </row>
    <row r="14" spans="1:11" x14ac:dyDescent="0.2">
      <c r="F14" s="8" t="s">
        <v>44</v>
      </c>
      <c r="G14" s="8">
        <v>38</v>
      </c>
      <c r="H14" s="8">
        <v>1494.2620727969531</v>
      </c>
      <c r="I14" s="8">
        <v>39.32268612623561</v>
      </c>
      <c r="J14" s="8"/>
      <c r="K14" s="8"/>
    </row>
    <row r="15" spans="1:11" ht="16" thickBot="1" x14ac:dyDescent="0.25">
      <c r="F15" s="9" t="s">
        <v>45</v>
      </c>
      <c r="G15" s="9">
        <v>39</v>
      </c>
      <c r="H15" s="9">
        <v>3397.6000000000013</v>
      </c>
      <c r="I15" s="9"/>
      <c r="J15" s="9"/>
      <c r="K15" s="9"/>
    </row>
    <row r="16" spans="1:11" ht="16" thickBot="1" x14ac:dyDescent="0.25"/>
    <row r="17" spans="6:14" x14ac:dyDescent="0.2">
      <c r="F17" s="10"/>
      <c r="G17" s="10" t="s">
        <v>51</v>
      </c>
      <c r="H17" s="10" t="s">
        <v>40</v>
      </c>
      <c r="I17" s="10" t="s">
        <v>52</v>
      </c>
      <c r="J17" s="10" t="s">
        <v>53</v>
      </c>
      <c r="K17" s="10" t="s">
        <v>54</v>
      </c>
      <c r="L17" s="10" t="s">
        <v>55</v>
      </c>
      <c r="M17" s="10" t="s">
        <v>56</v>
      </c>
      <c r="N17" s="10" t="s">
        <v>57</v>
      </c>
    </row>
    <row r="18" spans="6:14" x14ac:dyDescent="0.2">
      <c r="F18" s="8" t="s">
        <v>34</v>
      </c>
      <c r="G18" s="8">
        <v>7.7778238127297783</v>
      </c>
      <c r="H18" s="8">
        <v>16.146393035905305</v>
      </c>
      <c r="I18" s="8">
        <v>0.4817065827292793</v>
      </c>
      <c r="J18" s="8">
        <v>0.6327771135859539</v>
      </c>
      <c r="K18" s="8">
        <v>-24.908840017385803</v>
      </c>
      <c r="L18" s="8">
        <v>40.464487642845356</v>
      </c>
      <c r="M18" s="8">
        <v>-24.908840017385803</v>
      </c>
      <c r="N18" s="8">
        <v>40.464487642845356</v>
      </c>
    </row>
    <row r="19" spans="6:14" ht="16" thickBot="1" x14ac:dyDescent="0.25">
      <c r="F19" s="9" t="s">
        <v>58</v>
      </c>
      <c r="G19" s="9">
        <v>0.59870338372591225</v>
      </c>
      <c r="H19" s="9">
        <v>8.6054849655225654E-2</v>
      </c>
      <c r="I19" s="9">
        <v>6.9572300239276075</v>
      </c>
      <c r="J19" s="9">
        <v>2.8099288495859521E-8</v>
      </c>
      <c r="K19" s="9">
        <v>0.4244944483075514</v>
      </c>
      <c r="L19" s="9">
        <v>0.77291231914427305</v>
      </c>
      <c r="M19" s="9">
        <v>0.4244944483075514</v>
      </c>
      <c r="N19" s="9">
        <v>0.77291231914427305</v>
      </c>
    </row>
    <row r="23" spans="6:14" x14ac:dyDescent="0.2">
      <c r="F23" t="s">
        <v>59</v>
      </c>
    </row>
    <row r="24" spans="6:14" ht="16" thickBot="1" x14ac:dyDescent="0.25"/>
    <row r="25" spans="6:14" x14ac:dyDescent="0.2">
      <c r="F25" s="10" t="s">
        <v>60</v>
      </c>
      <c r="G25" s="10" t="s">
        <v>61</v>
      </c>
      <c r="H25" s="10" t="s">
        <v>62</v>
      </c>
    </row>
    <row r="26" spans="6:14" x14ac:dyDescent="0.2">
      <c r="F26" s="8">
        <v>1</v>
      </c>
      <c r="G26" s="8">
        <v>122.13017010437902</v>
      </c>
      <c r="H26" s="8">
        <v>-4.1301701043790189</v>
      </c>
    </row>
    <row r="27" spans="6:14" x14ac:dyDescent="0.2">
      <c r="F27" s="8">
        <v>2</v>
      </c>
      <c r="G27" s="8">
        <v>116.1431362671199</v>
      </c>
      <c r="H27" s="8">
        <v>-6.1431362671198997</v>
      </c>
    </row>
    <row r="28" spans="6:14" x14ac:dyDescent="0.2">
      <c r="F28" s="8">
        <v>3</v>
      </c>
      <c r="G28" s="8">
        <v>112.55091596476443</v>
      </c>
      <c r="H28" s="8">
        <v>-2.5509159647644282</v>
      </c>
    </row>
    <row r="29" spans="6:14" x14ac:dyDescent="0.2">
      <c r="F29" s="8">
        <v>4</v>
      </c>
      <c r="G29" s="8">
        <v>111.3535091973126</v>
      </c>
      <c r="H29" s="8">
        <v>-6.3535091973126043</v>
      </c>
    </row>
    <row r="30" spans="6:14" x14ac:dyDescent="0.2">
      <c r="F30" s="8">
        <v>5</v>
      </c>
      <c r="G30" s="8">
        <v>127.51850055791223</v>
      </c>
      <c r="H30" s="8">
        <v>4.4814994420877667</v>
      </c>
    </row>
    <row r="31" spans="6:14" x14ac:dyDescent="0.2">
      <c r="F31" s="8">
        <v>6</v>
      </c>
      <c r="G31" s="8">
        <v>111.95221258103851</v>
      </c>
      <c r="H31" s="8">
        <v>-1.9522125810385091</v>
      </c>
    </row>
    <row r="32" spans="6:14" x14ac:dyDescent="0.2">
      <c r="F32" s="8">
        <v>7</v>
      </c>
      <c r="G32" s="8">
        <v>118.53794980202355</v>
      </c>
      <c r="H32" s="8">
        <v>-3.5379498020235474</v>
      </c>
    </row>
    <row r="33" spans="6:8" x14ac:dyDescent="0.2">
      <c r="F33" s="8">
        <v>8</v>
      </c>
      <c r="G33" s="8">
        <v>120.33405995320128</v>
      </c>
      <c r="H33" s="8">
        <v>-10.334059953201276</v>
      </c>
    </row>
    <row r="34" spans="6:8" x14ac:dyDescent="0.2">
      <c r="F34" s="8">
        <v>9</v>
      </c>
      <c r="G34" s="8">
        <v>121.5314667206531</v>
      </c>
      <c r="H34" s="8">
        <v>0.46853327934690014</v>
      </c>
    </row>
    <row r="35" spans="6:8" x14ac:dyDescent="0.2">
      <c r="F35" s="8">
        <v>10</v>
      </c>
      <c r="G35" s="8">
        <v>122.72887348810494</v>
      </c>
      <c r="H35" s="8">
        <v>-2.7288734881049379</v>
      </c>
    </row>
    <row r="36" spans="6:8" x14ac:dyDescent="0.2">
      <c r="F36" s="8">
        <v>11</v>
      </c>
      <c r="G36" s="8">
        <v>121.5314667206531</v>
      </c>
      <c r="H36" s="8">
        <v>3.4685332793469001</v>
      </c>
    </row>
    <row r="37" spans="6:8" x14ac:dyDescent="0.2">
      <c r="F37" s="8">
        <v>12</v>
      </c>
      <c r="G37" s="8">
        <v>128.71590732536404</v>
      </c>
      <c r="H37" s="8">
        <v>-0.71590732536404289</v>
      </c>
    </row>
    <row r="38" spans="6:8" x14ac:dyDescent="0.2">
      <c r="F38" s="8">
        <v>13</v>
      </c>
      <c r="G38" s="8">
        <v>123.92628025555676</v>
      </c>
      <c r="H38" s="8">
        <v>10.073719744443238</v>
      </c>
    </row>
    <row r="39" spans="6:8" x14ac:dyDescent="0.2">
      <c r="F39" s="8">
        <v>14</v>
      </c>
      <c r="G39" s="8">
        <v>123.32757687183084</v>
      </c>
      <c r="H39" s="8">
        <v>8.6724231281691573</v>
      </c>
    </row>
    <row r="40" spans="6:8" x14ac:dyDescent="0.2">
      <c r="F40" s="8">
        <v>15</v>
      </c>
      <c r="G40" s="8">
        <v>131.11072086026769</v>
      </c>
      <c r="H40" s="8">
        <v>-0.11072086026769057</v>
      </c>
    </row>
    <row r="41" spans="6:8" x14ac:dyDescent="0.2">
      <c r="F41" s="8">
        <v>16</v>
      </c>
      <c r="G41" s="8">
        <v>115.54443288339398</v>
      </c>
      <c r="H41" s="8">
        <v>-0.54443288339398066</v>
      </c>
    </row>
    <row r="42" spans="6:8" x14ac:dyDescent="0.2">
      <c r="F42" s="8">
        <v>17</v>
      </c>
      <c r="G42" s="8">
        <v>110.75480581358669</v>
      </c>
      <c r="H42" s="8">
        <v>-4.7548058135866853</v>
      </c>
    </row>
    <row r="43" spans="6:8" x14ac:dyDescent="0.2">
      <c r="F43" s="8">
        <v>18</v>
      </c>
      <c r="G43" s="8">
        <v>105.96517874377939</v>
      </c>
      <c r="H43" s="8">
        <v>4.0348212562206101</v>
      </c>
    </row>
    <row r="44" spans="6:8" x14ac:dyDescent="0.2">
      <c r="F44" s="8">
        <v>19</v>
      </c>
      <c r="G44" s="8">
        <v>120.33405995320128</v>
      </c>
      <c r="H44" s="8">
        <v>-2.334059953201276</v>
      </c>
    </row>
    <row r="45" spans="6:8" x14ac:dyDescent="0.2">
      <c r="F45" s="8">
        <v>20</v>
      </c>
      <c r="G45" s="8">
        <v>118.53794980202355</v>
      </c>
      <c r="H45" s="8">
        <v>-1.5379498020235474</v>
      </c>
    </row>
    <row r="46" spans="6:8" x14ac:dyDescent="0.2">
      <c r="F46" s="8">
        <v>21</v>
      </c>
      <c r="G46" s="8">
        <v>109.55739904613486</v>
      </c>
      <c r="H46" s="8">
        <v>17.442600953865139</v>
      </c>
    </row>
    <row r="47" spans="6:8" x14ac:dyDescent="0.2">
      <c r="F47" s="8">
        <v>22</v>
      </c>
      <c r="G47" s="8">
        <v>135.90034793007501</v>
      </c>
      <c r="H47" s="8">
        <v>2.0996520699249857</v>
      </c>
    </row>
    <row r="48" spans="6:8" x14ac:dyDescent="0.2">
      <c r="F48" s="8">
        <v>23</v>
      </c>
      <c r="G48" s="8">
        <v>133.50553439517134</v>
      </c>
      <c r="H48" s="8">
        <v>-4.5055343951713382</v>
      </c>
    </row>
    <row r="49" spans="6:8" x14ac:dyDescent="0.2">
      <c r="F49" s="8">
        <v>24</v>
      </c>
      <c r="G49" s="8">
        <v>127.51850055791223</v>
      </c>
      <c r="H49" s="8">
        <v>-2.5185005579122333</v>
      </c>
    </row>
    <row r="50" spans="6:8" x14ac:dyDescent="0.2">
      <c r="F50" s="8">
        <v>25</v>
      </c>
      <c r="G50" s="8">
        <v>117.34054303457172</v>
      </c>
      <c r="H50" s="8">
        <v>-7.3405430345717235</v>
      </c>
    </row>
    <row r="51" spans="6:8" x14ac:dyDescent="0.2">
      <c r="F51" s="8">
        <v>26</v>
      </c>
      <c r="G51" s="8">
        <v>116.7418396508458</v>
      </c>
      <c r="H51" s="8">
        <v>-8.7418396508458045</v>
      </c>
    </row>
    <row r="52" spans="6:8" x14ac:dyDescent="0.2">
      <c r="F52" s="8">
        <v>27</v>
      </c>
      <c r="G52" s="8">
        <v>113.74832273221625</v>
      </c>
      <c r="H52" s="8">
        <v>-10.748322732216252</v>
      </c>
    </row>
    <row r="53" spans="6:8" x14ac:dyDescent="0.2">
      <c r="F53" s="8">
        <v>28</v>
      </c>
      <c r="G53" s="8">
        <v>118.53794980202355</v>
      </c>
      <c r="H53" s="8">
        <v>-3.5379498020235474</v>
      </c>
    </row>
    <row r="54" spans="6:8" x14ac:dyDescent="0.2">
      <c r="F54" s="8">
        <v>29</v>
      </c>
      <c r="G54" s="8">
        <v>127.51850055791223</v>
      </c>
      <c r="H54" s="8">
        <v>14.481499442087767</v>
      </c>
    </row>
    <row r="55" spans="6:8" x14ac:dyDescent="0.2">
      <c r="F55" s="8">
        <v>30</v>
      </c>
      <c r="G55" s="8">
        <v>117.93924641829763</v>
      </c>
      <c r="H55" s="8">
        <v>6.0607535817023717</v>
      </c>
    </row>
    <row r="56" spans="6:8" x14ac:dyDescent="0.2">
      <c r="F56" s="8">
        <v>31</v>
      </c>
      <c r="G56" s="8">
        <v>122.72887348810494</v>
      </c>
      <c r="H56" s="8">
        <v>-1.7288734881049379</v>
      </c>
    </row>
    <row r="57" spans="6:8" x14ac:dyDescent="0.2">
      <c r="F57" s="8">
        <v>32</v>
      </c>
      <c r="G57" s="8">
        <v>120.9327633369272</v>
      </c>
      <c r="H57" s="8">
        <v>2.067236663072805</v>
      </c>
    </row>
    <row r="58" spans="6:8" x14ac:dyDescent="0.2">
      <c r="F58" s="8">
        <v>33</v>
      </c>
      <c r="G58" s="8">
        <v>125.12368702300859</v>
      </c>
      <c r="H58" s="8">
        <v>-4.1236870230085856</v>
      </c>
    </row>
    <row r="59" spans="6:8" x14ac:dyDescent="0.2">
      <c r="F59" s="8">
        <v>34</v>
      </c>
      <c r="G59" s="8">
        <v>133.50553439517134</v>
      </c>
      <c r="H59" s="8">
        <v>-2.5055343951713382</v>
      </c>
    </row>
    <row r="60" spans="6:8" x14ac:dyDescent="0.2">
      <c r="F60" s="8">
        <v>35</v>
      </c>
      <c r="G60" s="8">
        <v>113.74832273221625</v>
      </c>
      <c r="H60" s="8">
        <v>7.251677267783748</v>
      </c>
    </row>
    <row r="61" spans="6:8" x14ac:dyDescent="0.2">
      <c r="F61" s="8">
        <v>36</v>
      </c>
      <c r="G61" s="8">
        <v>114.94572949966808</v>
      </c>
      <c r="H61" s="8">
        <v>5.0542705003319242</v>
      </c>
    </row>
    <row r="62" spans="6:8" x14ac:dyDescent="0.2">
      <c r="F62" s="8">
        <v>37</v>
      </c>
      <c r="G62" s="8">
        <v>115.54443288339398</v>
      </c>
      <c r="H62" s="8">
        <v>3.4555671166060193</v>
      </c>
    </row>
    <row r="63" spans="6:8" x14ac:dyDescent="0.2">
      <c r="F63" s="8">
        <v>38</v>
      </c>
      <c r="G63" s="8">
        <v>117.34054303457172</v>
      </c>
      <c r="H63" s="8">
        <v>-2.3405430345717235</v>
      </c>
    </row>
    <row r="64" spans="6:8" x14ac:dyDescent="0.2">
      <c r="F64" s="8">
        <v>39</v>
      </c>
      <c r="G64" s="8">
        <v>113.74832273221625</v>
      </c>
      <c r="H64" s="8">
        <v>6.251677267783748</v>
      </c>
    </row>
    <row r="65" spans="6:8" ht="16" thickBot="1" x14ac:dyDescent="0.25">
      <c r="F65" s="9">
        <v>40</v>
      </c>
      <c r="G65" s="9">
        <v>115.54443288339398</v>
      </c>
      <c r="H65" s="9">
        <v>0.45556711660601934</v>
      </c>
    </row>
  </sheetData>
  <mergeCells count="1">
    <mergeCell ref="C2:D2"/>
  </mergeCells>
  <pageMargins left="0.7" right="0.7" top="0.75" bottom="0.75" header="0.3" footer="0.3"/>
  <ignoredErrors>
    <ignoredError sqref="A3:A6 D4:D6 A9:A104857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ABDA-2145-5B41-A64F-B7BDD26FFA84}">
  <dimension ref="A2:G28"/>
  <sheetViews>
    <sheetView tabSelected="1" workbookViewId="0">
      <selection activeCell="D32" sqref="D32"/>
    </sheetView>
  </sheetViews>
  <sheetFormatPr baseColWidth="10" defaultRowHeight="15" x14ac:dyDescent="0.2"/>
  <cols>
    <col min="1" max="1" width="28.5" customWidth="1"/>
    <col min="2" max="2" width="32.83203125" customWidth="1"/>
    <col min="4" max="4" width="25.5" bestFit="1" customWidth="1"/>
    <col min="5" max="5" width="33.6640625" customWidth="1"/>
  </cols>
  <sheetData>
    <row r="2" spans="1:7" x14ac:dyDescent="0.2">
      <c r="A2" s="14" t="s">
        <v>89</v>
      </c>
      <c r="B2" s="14"/>
      <c r="D2" s="14" t="s">
        <v>87</v>
      </c>
      <c r="E2" s="14"/>
    </row>
    <row r="3" spans="1:7" x14ac:dyDescent="0.2">
      <c r="A3" s="19" t="s">
        <v>22</v>
      </c>
      <c r="B3" s="19" t="s">
        <v>32</v>
      </c>
      <c r="D3" s="19" t="s">
        <v>22</v>
      </c>
      <c r="E3" s="19" t="s">
        <v>32</v>
      </c>
    </row>
    <row r="4" spans="1:7" x14ac:dyDescent="0.2">
      <c r="A4" s="5" t="s">
        <v>63</v>
      </c>
      <c r="B4" s="5">
        <f>AVERAGE(Datos!C42:C101)</f>
        <v>127.48333333333333</v>
      </c>
      <c r="D4" s="5" t="s">
        <v>80</v>
      </c>
      <c r="E4" s="5">
        <f>COUNTIF(Datos!C2:C101, "&gt;=130")</f>
        <v>35</v>
      </c>
    </row>
    <row r="5" spans="1:7" x14ac:dyDescent="0.2">
      <c r="A5" s="5" t="s">
        <v>25</v>
      </c>
      <c r="B5" s="5">
        <f>_xlfn.STDEV.S(Datos!C42:C101)</f>
        <v>13.888773257522391</v>
      </c>
      <c r="D5" s="5" t="s">
        <v>93</v>
      </c>
      <c r="E5" s="5">
        <f>COUNT(Datos!C2:C101)</f>
        <v>100</v>
      </c>
    </row>
    <row r="6" spans="1:7" x14ac:dyDescent="0.2">
      <c r="A6" s="5" t="s">
        <v>64</v>
      </c>
      <c r="B6" s="5">
        <f>COUNT(Datos!C42:C101)</f>
        <v>60</v>
      </c>
      <c r="D6" s="5" t="s">
        <v>81</v>
      </c>
      <c r="E6" s="5">
        <f>E4/E5</f>
        <v>0.35</v>
      </c>
    </row>
    <row r="7" spans="1:7" x14ac:dyDescent="0.2">
      <c r="A7" s="5" t="s">
        <v>65</v>
      </c>
      <c r="B7" s="5">
        <f>B5/SQRT(B6)</f>
        <v>1.7930329175211719</v>
      </c>
      <c r="D7" s="5" t="s">
        <v>65</v>
      </c>
      <c r="E7" s="5">
        <f>SQRT(E6*(1-E6)/E5)</f>
        <v>4.7696960070847276E-2</v>
      </c>
    </row>
    <row r="8" spans="1:7" x14ac:dyDescent="0.2">
      <c r="A8" s="5" t="s">
        <v>66</v>
      </c>
      <c r="B8" s="5">
        <f>_xlfn.T.INV.2T(0.05,B6-1)</f>
        <v>2.0009953780882688</v>
      </c>
      <c r="D8" s="5" t="s">
        <v>82</v>
      </c>
      <c r="E8" s="5">
        <f>_xlfn.NORM.S.INV(1-0.01/2)</f>
        <v>2.5758293035488999</v>
      </c>
    </row>
    <row r="9" spans="1:7" x14ac:dyDescent="0.2">
      <c r="A9" s="5" t="s">
        <v>68</v>
      </c>
      <c r="B9" s="5">
        <f>B4-B8*B7</f>
        <v>123.89548275261335</v>
      </c>
      <c r="D9" s="5" t="s">
        <v>70</v>
      </c>
      <c r="E9" s="5">
        <f>E6-E8*E7</f>
        <v>0.22714077255930976</v>
      </c>
    </row>
    <row r="10" spans="1:7" x14ac:dyDescent="0.2">
      <c r="A10" s="5" t="s">
        <v>69</v>
      </c>
      <c r="B10" s="5">
        <f>B4+B8*B7</f>
        <v>131.07118391405334</v>
      </c>
      <c r="D10" s="5" t="s">
        <v>71</v>
      </c>
      <c r="E10" s="5">
        <f>E6+E8*E7</f>
        <v>0.4728592274406902</v>
      </c>
    </row>
    <row r="11" spans="1:7" x14ac:dyDescent="0.2">
      <c r="A11" s="5" t="s">
        <v>67</v>
      </c>
      <c r="B11" s="5">
        <f>_xlfn.T.INV.2T(0.01, B6-1)</f>
        <v>2.6617587521629682</v>
      </c>
      <c r="D11" s="20" t="s">
        <v>90</v>
      </c>
      <c r="E11" s="5">
        <v>0.3</v>
      </c>
    </row>
    <row r="12" spans="1:7" x14ac:dyDescent="0.2">
      <c r="A12" s="5" t="s">
        <v>70</v>
      </c>
      <c r="B12" s="5">
        <f>B4-B11*B7</f>
        <v>122.71071227220506</v>
      </c>
      <c r="D12" s="20" t="s">
        <v>86</v>
      </c>
      <c r="E12" s="5">
        <f>SQRT(0.3*0.7/E5)</f>
        <v>4.5825756949558399E-2</v>
      </c>
    </row>
    <row r="13" spans="1:7" x14ac:dyDescent="0.2">
      <c r="A13" s="5" t="s">
        <v>71</v>
      </c>
      <c r="B13" s="5">
        <f>B4+B11*B7</f>
        <v>132.25595439446161</v>
      </c>
      <c r="D13" s="5" t="s">
        <v>84</v>
      </c>
      <c r="E13" s="5">
        <f>(E6-0.3)/E12</f>
        <v>1.0910894511799616</v>
      </c>
    </row>
    <row r="14" spans="1:7" x14ac:dyDescent="0.2">
      <c r="D14" s="5" t="s">
        <v>85</v>
      </c>
      <c r="E14" s="5">
        <f>2*(1-_xlfn.NORM.S.DIST(ABS(E13), TRUE))</f>
        <v>0.27523352407483448</v>
      </c>
    </row>
    <row r="15" spans="1:7" ht="40" customHeight="1" x14ac:dyDescent="0.2">
      <c r="A15" s="17" t="s">
        <v>88</v>
      </c>
      <c r="B15" s="18"/>
    </row>
    <row r="16" spans="1:7" x14ac:dyDescent="0.2">
      <c r="A16" s="19" t="s">
        <v>22</v>
      </c>
      <c r="B16" s="19" t="s">
        <v>32</v>
      </c>
      <c r="D16" s="14" t="s">
        <v>95</v>
      </c>
      <c r="E16" s="14"/>
      <c r="G16" s="12"/>
    </row>
    <row r="17" spans="1:5" x14ac:dyDescent="0.2">
      <c r="A17" s="5" t="s">
        <v>73</v>
      </c>
      <c r="B17" s="5">
        <f>AVERAGE(Datos!D2:D41)</f>
        <v>119.9</v>
      </c>
      <c r="D17" s="19" t="s">
        <v>22</v>
      </c>
      <c r="E17" s="6" t="s">
        <v>32</v>
      </c>
    </row>
    <row r="18" spans="1:5" x14ac:dyDescent="0.2">
      <c r="A18" s="5" t="s">
        <v>72</v>
      </c>
      <c r="B18" s="5">
        <f>_xlfn.STDEV.S(Datos!D2:D41)</f>
        <v>9.333699626511919</v>
      </c>
      <c r="D18" s="5" t="s">
        <v>91</v>
      </c>
      <c r="E18" s="5">
        <f>AVERAGE(Datos!F42:F101)</f>
        <v>-4.0333333333333332</v>
      </c>
    </row>
    <row r="19" spans="1:5" x14ac:dyDescent="0.2">
      <c r="A19" s="5" t="s">
        <v>78</v>
      </c>
      <c r="B19" s="5">
        <f>COUNT(Datos!D2:D41)</f>
        <v>40</v>
      </c>
      <c r="D19" s="5" t="s">
        <v>92</v>
      </c>
      <c r="E19" s="5">
        <f>_xlfn.STDEV.S(Datos!F42:F101)</f>
        <v>8.2564133606500647</v>
      </c>
    </row>
    <row r="20" spans="1:5" x14ac:dyDescent="0.2">
      <c r="A20" s="5" t="s">
        <v>75</v>
      </c>
      <c r="B20" s="5">
        <f>AVERAGE(Datos!D42:D101)</f>
        <v>123.45</v>
      </c>
      <c r="D20" s="5" t="s">
        <v>64</v>
      </c>
      <c r="E20" s="5">
        <f>COUNT(Datos!F42:F101)</f>
        <v>60</v>
      </c>
    </row>
    <row r="21" spans="1:5" x14ac:dyDescent="0.2">
      <c r="A21" s="5" t="s">
        <v>76</v>
      </c>
      <c r="B21" s="5">
        <f>_xlfn.STDEV.S(Datos!D42:D101)</f>
        <v>17.395133743840582</v>
      </c>
      <c r="D21" s="5" t="s">
        <v>65</v>
      </c>
      <c r="E21" s="5">
        <f>E19/SQRT(E20)</f>
        <v>1.0658983815067371</v>
      </c>
    </row>
    <row r="22" spans="1:5" x14ac:dyDescent="0.2">
      <c r="A22" s="5" t="s">
        <v>77</v>
      </c>
      <c r="B22" s="5">
        <f>COUNT(Datos!D42:D101)</f>
        <v>60</v>
      </c>
      <c r="D22" s="5" t="s">
        <v>94</v>
      </c>
      <c r="E22" s="5">
        <f>E18/E21</f>
        <v>-3.7839754739395297</v>
      </c>
    </row>
    <row r="23" spans="1:5" x14ac:dyDescent="0.2">
      <c r="A23" s="5" t="s">
        <v>74</v>
      </c>
      <c r="B23" s="5">
        <f>B20-B17</f>
        <v>3.5499999999999972</v>
      </c>
      <c r="D23" s="5" t="s">
        <v>85</v>
      </c>
      <c r="E23" s="5">
        <f>_xlfn.T.DIST.2T(ABS(E22), E20-1)</f>
        <v>3.6311775489927231E-4</v>
      </c>
    </row>
    <row r="24" spans="1:5" x14ac:dyDescent="0.2">
      <c r="A24" s="5" t="s">
        <v>65</v>
      </c>
      <c r="B24" s="5">
        <f>SQRT((B21^2)/B22 + (B18^2)/B19)</f>
        <v>2.687215414523072</v>
      </c>
    </row>
    <row r="25" spans="1:5" x14ac:dyDescent="0.2">
      <c r="A25" s="5" t="s">
        <v>79</v>
      </c>
      <c r="B25" s="5">
        <f>MIN(B22-1, B19-1)</f>
        <v>39</v>
      </c>
    </row>
    <row r="26" spans="1:5" x14ac:dyDescent="0.2">
      <c r="A26" s="5" t="s">
        <v>83</v>
      </c>
      <c r="B26" s="5">
        <f>_xlfn.T.INV.2T(0.05, B25)</f>
        <v>2.0226909200367595</v>
      </c>
    </row>
    <row r="27" spans="1:5" x14ac:dyDescent="0.2">
      <c r="A27" s="5" t="s">
        <v>68</v>
      </c>
      <c r="B27" s="5">
        <f>B23-B26*B24</f>
        <v>-1.8854062191386376</v>
      </c>
    </row>
    <row r="28" spans="1:5" x14ac:dyDescent="0.2">
      <c r="A28" s="5" t="s">
        <v>69</v>
      </c>
      <c r="B28" s="5">
        <f>B23+B26*B24</f>
        <v>8.9854062191386319</v>
      </c>
    </row>
  </sheetData>
  <mergeCells count="4">
    <mergeCell ref="A2:B2"/>
    <mergeCell ref="A15:B15"/>
    <mergeCell ref="D2:E2"/>
    <mergeCell ref="D16:E16"/>
  </mergeCells>
  <pageMargins left="0.7" right="0.7" top="0.75" bottom="0.75" header="0.3" footer="0.3"/>
  <ignoredErrors>
    <ignoredError sqref="B4:B6 B17:B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</vt:lpstr>
      <vt:lpstr>Ejercicio 1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DOCENCIA</dc:creator>
  <cp:lastModifiedBy>Lama Jaber Azzam</cp:lastModifiedBy>
  <dcterms:created xsi:type="dcterms:W3CDTF">2023-08-08T11:12:30Z</dcterms:created>
  <dcterms:modified xsi:type="dcterms:W3CDTF">2026-05-28T21:47:51Z</dcterms:modified>
</cp:coreProperties>
</file>